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g1671/Documents/GitHub/nhanes_area_ses/run/"/>
    </mc:Choice>
  </mc:AlternateContent>
  <xr:revisionPtr revIDLastSave="0" documentId="13_ncr:1_{53E04722-12D3-AF42-8192-EFE11DC239B8}" xr6:coauthVersionLast="47" xr6:coauthVersionMax="47" xr10:uidLastSave="{00000000-0000-0000-0000-000000000000}"/>
  <bookViews>
    <workbookView xWindow="33480" yWindow="-140" windowWidth="27640" windowHeight="15740" activeTab="2" xr2:uid="{1AB1AE8B-8052-1349-AED9-EC11877DDECE}"/>
  </bookViews>
  <sheets>
    <sheet name="Excerpt" sheetId="1" r:id="rId1"/>
    <sheet name="Table S12A Base 10yr" sheetId="2" r:id="rId2"/>
    <sheet name="Table S12D SDI 10yr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43" i="3" l="1"/>
  <c r="K43" i="3"/>
  <c r="J43" i="3"/>
  <c r="I43" i="3"/>
  <c r="H43" i="3"/>
  <c r="G43" i="3"/>
  <c r="F43" i="3"/>
  <c r="E43" i="3"/>
  <c r="D43" i="3"/>
  <c r="C43" i="3"/>
  <c r="B42" i="3"/>
  <c r="B41" i="3"/>
  <c r="B31" i="3"/>
  <c r="B30" i="3"/>
  <c r="B29" i="3"/>
  <c r="B28" i="3"/>
  <c r="B27" i="3"/>
  <c r="B26" i="3"/>
  <c r="B25" i="3"/>
  <c r="B24" i="3"/>
  <c r="B23" i="3"/>
  <c r="B22" i="3"/>
  <c r="B21" i="3"/>
  <c r="L20" i="3"/>
  <c r="K20" i="3"/>
  <c r="J20" i="3"/>
  <c r="B20" i="3"/>
  <c r="B19" i="3"/>
  <c r="L40" i="2"/>
  <c r="K40" i="2"/>
  <c r="J40" i="2"/>
  <c r="I40" i="2"/>
  <c r="H40" i="2"/>
  <c r="G40" i="2"/>
  <c r="F40" i="2"/>
  <c r="E40" i="2"/>
  <c r="D40" i="2"/>
  <c r="C40" i="2"/>
  <c r="B39" i="2"/>
  <c r="B30" i="2"/>
  <c r="B29" i="2"/>
  <c r="B28" i="2"/>
  <c r="B27" i="2"/>
  <c r="B26" i="2"/>
  <c r="L25" i="2"/>
  <c r="K25" i="2"/>
  <c r="J25" i="2"/>
  <c r="B25" i="2"/>
  <c r="B24" i="2"/>
  <c r="B23" i="2"/>
  <c r="B22" i="2"/>
  <c r="B21" i="2"/>
  <c r="K20" i="2"/>
  <c r="B20" i="2"/>
  <c r="B19" i="2"/>
  <c r="B18" i="2"/>
  <c r="L42" i="3" l="1"/>
  <c r="J42" i="3"/>
  <c r="H42" i="3"/>
  <c r="F42" i="3"/>
  <c r="D42" i="3"/>
  <c r="C42" i="3"/>
  <c r="E42" i="3"/>
  <c r="G42" i="3"/>
  <c r="I42" i="3"/>
  <c r="K42" i="3"/>
  <c r="C41" i="3"/>
  <c r="D41" i="3"/>
  <c r="E41" i="3"/>
  <c r="F41" i="3"/>
  <c r="G41" i="3"/>
  <c r="H41" i="3"/>
  <c r="I41" i="3"/>
  <c r="J41" i="3"/>
  <c r="K41" i="3"/>
  <c r="L41" i="3"/>
  <c r="E31" i="3"/>
  <c r="D31" i="3"/>
  <c r="C31" i="3"/>
  <c r="L31" i="3"/>
  <c r="K31" i="3"/>
  <c r="J31" i="3"/>
  <c r="I31" i="3"/>
  <c r="H31" i="3"/>
  <c r="G31" i="3"/>
  <c r="F31" i="3"/>
  <c r="L30" i="3"/>
  <c r="K30" i="3"/>
  <c r="J30" i="3"/>
  <c r="I30" i="3"/>
  <c r="H30" i="3"/>
  <c r="G30" i="3"/>
  <c r="F30" i="3"/>
  <c r="E30" i="3"/>
  <c r="D30" i="3"/>
  <c r="C30" i="3"/>
  <c r="E29" i="3"/>
  <c r="D29" i="3"/>
  <c r="C29" i="3"/>
  <c r="L29" i="3"/>
  <c r="K29" i="3"/>
  <c r="J29" i="3"/>
  <c r="I29" i="3"/>
  <c r="H29" i="3"/>
  <c r="G29" i="3"/>
  <c r="F29" i="3"/>
  <c r="L28" i="3"/>
  <c r="J28" i="3"/>
  <c r="K28" i="3"/>
  <c r="I28" i="3"/>
  <c r="H28" i="3"/>
  <c r="G28" i="3"/>
  <c r="F28" i="3"/>
  <c r="E28" i="3"/>
  <c r="D28" i="3"/>
  <c r="C28" i="3"/>
  <c r="L27" i="3"/>
  <c r="C27" i="3"/>
  <c r="D27" i="3"/>
  <c r="E27" i="3"/>
  <c r="F27" i="3"/>
  <c r="G27" i="3"/>
  <c r="H27" i="3"/>
  <c r="I27" i="3"/>
  <c r="J27" i="3"/>
  <c r="K27" i="3"/>
  <c r="J26" i="3"/>
  <c r="L26" i="3"/>
  <c r="D26" i="3"/>
  <c r="E26" i="3"/>
  <c r="F26" i="3"/>
  <c r="G26" i="3"/>
  <c r="H26" i="3"/>
  <c r="I26" i="3"/>
  <c r="C26" i="3"/>
  <c r="K26" i="3"/>
  <c r="K25" i="3"/>
  <c r="L25" i="3"/>
  <c r="J25" i="3"/>
  <c r="I25" i="3"/>
  <c r="H25" i="3"/>
  <c r="G25" i="3"/>
  <c r="F25" i="3"/>
  <c r="E25" i="3"/>
  <c r="D25" i="3"/>
  <c r="C25" i="3"/>
  <c r="F24" i="3"/>
  <c r="J24" i="3"/>
  <c r="I24" i="3"/>
  <c r="H24" i="3"/>
  <c r="G24" i="3"/>
  <c r="L24" i="3"/>
  <c r="E24" i="3"/>
  <c r="D24" i="3"/>
  <c r="C24" i="3"/>
  <c r="K24" i="3"/>
  <c r="B32" i="3"/>
  <c r="L23" i="3"/>
  <c r="K23" i="3"/>
  <c r="J23" i="3"/>
  <c r="I23" i="3"/>
  <c r="H23" i="3"/>
  <c r="G23" i="3"/>
  <c r="F23" i="3"/>
  <c r="E23" i="3"/>
  <c r="D23" i="3"/>
  <c r="C23" i="3"/>
  <c r="C22" i="3"/>
  <c r="E22" i="3"/>
  <c r="D22" i="3"/>
  <c r="F22" i="3"/>
  <c r="G22" i="3"/>
  <c r="H22" i="3"/>
  <c r="I22" i="3"/>
  <c r="J22" i="3"/>
  <c r="K22" i="3"/>
  <c r="L22" i="3"/>
  <c r="E21" i="3"/>
  <c r="F21" i="3"/>
  <c r="K21" i="3"/>
  <c r="J21" i="3"/>
  <c r="I21" i="3"/>
  <c r="H21" i="3"/>
  <c r="L21" i="3"/>
  <c r="G21" i="3"/>
  <c r="C21" i="3"/>
  <c r="D21" i="3"/>
  <c r="C20" i="3"/>
  <c r="D20" i="3"/>
  <c r="E20" i="3"/>
  <c r="G20" i="3"/>
  <c r="H20" i="3"/>
  <c r="I20" i="3"/>
  <c r="B33" i="3"/>
  <c r="F20" i="3"/>
  <c r="B38" i="3"/>
  <c r="B39" i="3"/>
  <c r="B37" i="3"/>
  <c r="B36" i="3"/>
  <c r="B35" i="3"/>
  <c r="B34" i="3"/>
  <c r="L19" i="3"/>
  <c r="B40" i="3"/>
  <c r="K19" i="3"/>
  <c r="J19" i="3"/>
  <c r="I19" i="3"/>
  <c r="H19" i="3"/>
  <c r="G19" i="3"/>
  <c r="F19" i="3"/>
  <c r="C19" i="3"/>
  <c r="E19" i="3"/>
  <c r="D19" i="3"/>
  <c r="K39" i="2"/>
  <c r="L39" i="2"/>
  <c r="C39" i="2"/>
  <c r="D39" i="2"/>
  <c r="J39" i="2"/>
  <c r="I39" i="2"/>
  <c r="H39" i="2"/>
  <c r="G39" i="2"/>
  <c r="F39" i="2"/>
  <c r="E39" i="2"/>
  <c r="C30" i="2"/>
  <c r="D30" i="2"/>
  <c r="E30" i="2"/>
  <c r="F30" i="2"/>
  <c r="G30" i="2"/>
  <c r="H30" i="2"/>
  <c r="I30" i="2"/>
  <c r="J30" i="2"/>
  <c r="K30" i="2"/>
  <c r="L30" i="2"/>
  <c r="L29" i="2"/>
  <c r="C29" i="2"/>
  <c r="K29" i="2"/>
  <c r="J29" i="2"/>
  <c r="I29" i="2"/>
  <c r="H29" i="2"/>
  <c r="G29" i="2"/>
  <c r="F29" i="2"/>
  <c r="E29" i="2"/>
  <c r="D29" i="2"/>
  <c r="G28" i="2"/>
  <c r="L28" i="2"/>
  <c r="K28" i="2"/>
  <c r="J28" i="2"/>
  <c r="I28" i="2"/>
  <c r="H28" i="2"/>
  <c r="D28" i="2"/>
  <c r="E28" i="2"/>
  <c r="F28" i="2"/>
  <c r="C28" i="2"/>
  <c r="L27" i="2"/>
  <c r="K27" i="2"/>
  <c r="J27" i="2"/>
  <c r="I27" i="2"/>
  <c r="H27" i="2"/>
  <c r="G27" i="2"/>
  <c r="F27" i="2"/>
  <c r="E27" i="2"/>
  <c r="D27" i="2"/>
  <c r="C27" i="2"/>
  <c r="D26" i="2"/>
  <c r="H26" i="2"/>
  <c r="G26" i="2"/>
  <c r="F26" i="2"/>
  <c r="I26" i="2"/>
  <c r="J26" i="2"/>
  <c r="C26" i="2"/>
  <c r="L26" i="2"/>
  <c r="K26" i="2"/>
  <c r="B38" i="2"/>
  <c r="E26" i="2"/>
  <c r="F25" i="2"/>
  <c r="D25" i="2"/>
  <c r="C25" i="2"/>
  <c r="I25" i="2"/>
  <c r="H25" i="2"/>
  <c r="G25" i="2"/>
  <c r="E25" i="2"/>
  <c r="L24" i="2"/>
  <c r="K24" i="2"/>
  <c r="J24" i="2"/>
  <c r="I24" i="2"/>
  <c r="H24" i="2"/>
  <c r="G24" i="2"/>
  <c r="F24" i="2"/>
  <c r="E24" i="2"/>
  <c r="D24" i="2"/>
  <c r="C24" i="2"/>
  <c r="F23" i="2"/>
  <c r="G23" i="2"/>
  <c r="H23" i="2"/>
  <c r="E23" i="2"/>
  <c r="D23" i="2"/>
  <c r="C23" i="2"/>
  <c r="L23" i="2"/>
  <c r="I23" i="2"/>
  <c r="K23" i="2"/>
  <c r="J23" i="2"/>
  <c r="K22" i="2"/>
  <c r="G22" i="2"/>
  <c r="F22" i="2"/>
  <c r="E22" i="2"/>
  <c r="D22" i="2"/>
  <c r="C22" i="2"/>
  <c r="H22" i="2"/>
  <c r="I22" i="2"/>
  <c r="J22" i="2"/>
  <c r="L22" i="2"/>
  <c r="B31" i="2"/>
  <c r="I21" i="2"/>
  <c r="J21" i="2"/>
  <c r="K21" i="2"/>
  <c r="L21" i="2"/>
  <c r="E21" i="2"/>
  <c r="D21" i="2"/>
  <c r="C21" i="2"/>
  <c r="G21" i="2"/>
  <c r="F21" i="2"/>
  <c r="H21" i="2"/>
  <c r="C20" i="2"/>
  <c r="F20" i="2"/>
  <c r="G20" i="2"/>
  <c r="H20" i="2"/>
  <c r="L20" i="2"/>
  <c r="I20" i="2"/>
  <c r="J20" i="2"/>
  <c r="D20" i="2"/>
  <c r="E20" i="2"/>
  <c r="K19" i="2"/>
  <c r="B32" i="2"/>
  <c r="L19" i="2"/>
  <c r="C19" i="2"/>
  <c r="D19" i="2"/>
  <c r="E19" i="2"/>
  <c r="F19" i="2"/>
  <c r="G19" i="2"/>
  <c r="H19" i="2"/>
  <c r="I19" i="2"/>
  <c r="J19" i="2"/>
  <c r="F18" i="2"/>
  <c r="L18" i="2"/>
  <c r="K18" i="2"/>
  <c r="J18" i="2"/>
  <c r="I18" i="2"/>
  <c r="B33" i="2"/>
  <c r="B34" i="2"/>
  <c r="H18" i="2"/>
  <c r="G18" i="2"/>
  <c r="C18" i="2"/>
  <c r="D18" i="2"/>
  <c r="E18" i="2"/>
  <c r="B35" i="2"/>
  <c r="B36" i="2"/>
  <c r="B37" i="2"/>
  <c r="C32" i="3" l="1"/>
  <c r="D32" i="3"/>
  <c r="E32" i="3"/>
  <c r="F32" i="3"/>
  <c r="G32" i="3"/>
  <c r="H32" i="3"/>
  <c r="I32" i="3"/>
  <c r="J32" i="3"/>
  <c r="K32" i="3"/>
  <c r="L32" i="3"/>
  <c r="C33" i="3"/>
  <c r="D33" i="3"/>
  <c r="E33" i="3"/>
  <c r="F33" i="3"/>
  <c r="G33" i="3"/>
  <c r="H33" i="3"/>
  <c r="I33" i="3"/>
  <c r="J33" i="3"/>
  <c r="K33" i="3"/>
  <c r="L33" i="3"/>
  <c r="C38" i="3"/>
  <c r="D38" i="3"/>
  <c r="E38" i="3"/>
  <c r="F38" i="3"/>
  <c r="G38" i="3"/>
  <c r="H38" i="3"/>
  <c r="I38" i="3"/>
  <c r="J38" i="3"/>
  <c r="K38" i="3"/>
  <c r="L38" i="3"/>
  <c r="C39" i="3"/>
  <c r="D39" i="3"/>
  <c r="E39" i="3"/>
  <c r="F39" i="3"/>
  <c r="G39" i="3"/>
  <c r="H39" i="3"/>
  <c r="I39" i="3"/>
  <c r="J39" i="3"/>
  <c r="K39" i="3"/>
  <c r="L39" i="3"/>
  <c r="C37" i="3"/>
  <c r="D37" i="3"/>
  <c r="E37" i="3"/>
  <c r="F37" i="3"/>
  <c r="G37" i="3"/>
  <c r="H37" i="3"/>
  <c r="I37" i="3"/>
  <c r="J37" i="3"/>
  <c r="K37" i="3"/>
  <c r="L37" i="3"/>
  <c r="C36" i="3"/>
  <c r="D36" i="3"/>
  <c r="E36" i="3"/>
  <c r="F36" i="3"/>
  <c r="G36" i="3"/>
  <c r="H36" i="3"/>
  <c r="I36" i="3"/>
  <c r="J36" i="3"/>
  <c r="K36" i="3"/>
  <c r="L36" i="3"/>
  <c r="C35" i="3"/>
  <c r="D35" i="3"/>
  <c r="E35" i="3"/>
  <c r="F35" i="3"/>
  <c r="G35" i="3"/>
  <c r="H35" i="3"/>
  <c r="I35" i="3"/>
  <c r="J35" i="3"/>
  <c r="K35" i="3"/>
  <c r="L35" i="3"/>
  <c r="C34" i="3"/>
  <c r="D34" i="3"/>
  <c r="E34" i="3"/>
  <c r="F34" i="3"/>
  <c r="G34" i="3"/>
  <c r="H34" i="3"/>
  <c r="I34" i="3"/>
  <c r="J34" i="3"/>
  <c r="K34" i="3"/>
  <c r="L34" i="3"/>
  <c r="C40" i="3"/>
  <c r="D40" i="3"/>
  <c r="E40" i="3"/>
  <c r="F40" i="3"/>
  <c r="G40" i="3"/>
  <c r="H40" i="3"/>
  <c r="I40" i="3"/>
  <c r="J40" i="3"/>
  <c r="K40" i="3"/>
  <c r="L40" i="3"/>
  <c r="C38" i="2"/>
  <c r="D38" i="2"/>
  <c r="E38" i="2"/>
  <c r="F38" i="2"/>
  <c r="G38" i="2"/>
  <c r="H38" i="2"/>
  <c r="I38" i="2"/>
  <c r="J38" i="2"/>
  <c r="K38" i="2"/>
  <c r="L38" i="2"/>
  <c r="C31" i="2"/>
  <c r="D31" i="2"/>
  <c r="E31" i="2"/>
  <c r="F31" i="2"/>
  <c r="G31" i="2"/>
  <c r="H31" i="2"/>
  <c r="I31" i="2"/>
  <c r="J31" i="2"/>
  <c r="K31" i="2"/>
  <c r="L31" i="2"/>
  <c r="C32" i="2"/>
  <c r="D32" i="2"/>
  <c r="E32" i="2"/>
  <c r="F32" i="2"/>
  <c r="G32" i="2"/>
  <c r="H32" i="2"/>
  <c r="I32" i="2"/>
  <c r="J32" i="2"/>
  <c r="K32" i="2"/>
  <c r="L32" i="2"/>
  <c r="C33" i="2"/>
  <c r="D33" i="2"/>
  <c r="E33" i="2"/>
  <c r="F33" i="2"/>
  <c r="G33" i="2"/>
  <c r="H33" i="2"/>
  <c r="I33" i="2"/>
  <c r="J33" i="2"/>
  <c r="K33" i="2"/>
  <c r="L33" i="2"/>
  <c r="C34" i="2"/>
  <c r="D34" i="2"/>
  <c r="E34" i="2"/>
  <c r="F34" i="2"/>
  <c r="G34" i="2"/>
  <c r="H34" i="2"/>
  <c r="I34" i="2"/>
  <c r="J34" i="2"/>
  <c r="K34" i="2"/>
  <c r="L34" i="2"/>
  <c r="C35" i="2"/>
  <c r="D35" i="2"/>
  <c r="E35" i="2"/>
  <c r="F35" i="2"/>
  <c r="G35" i="2"/>
  <c r="H35" i="2"/>
  <c r="I35" i="2"/>
  <c r="J35" i="2"/>
  <c r="K35" i="2"/>
  <c r="L35" i="2"/>
  <c r="C36" i="2"/>
  <c r="D36" i="2"/>
  <c r="E36" i="2"/>
  <c r="F36" i="2"/>
  <c r="G36" i="2"/>
  <c r="H36" i="2"/>
  <c r="I36" i="2"/>
  <c r="J36" i="2"/>
  <c r="K36" i="2"/>
  <c r="L36" i="2"/>
  <c r="C37" i="2"/>
  <c r="D37" i="2"/>
  <c r="E37" i="2"/>
  <c r="F37" i="2"/>
  <c r="G37" i="2"/>
  <c r="H37" i="2"/>
  <c r="I37" i="2"/>
  <c r="J37" i="2"/>
  <c r="K37" i="2"/>
  <c r="L37" i="2"/>
  <c r="C44" i="3" l="1"/>
  <c r="C45" i="3" s="1"/>
  <c r="E6" i="3" s="1"/>
  <c r="D44" i="3"/>
  <c r="D45" i="3" s="1"/>
  <c r="F6" i="3" s="1"/>
  <c r="E44" i="3"/>
  <c r="E45" i="3" s="1"/>
  <c r="G6" i="3" s="1"/>
  <c r="F44" i="3"/>
  <c r="F45" i="3" s="1"/>
  <c r="H6" i="3" s="1"/>
  <c r="G44" i="3"/>
  <c r="G45" i="3" s="1"/>
  <c r="I6" i="3" s="1"/>
  <c r="H44" i="3"/>
  <c r="H45" i="3" s="1"/>
  <c r="J6" i="3" s="1"/>
  <c r="I44" i="3"/>
  <c r="I45" i="3" s="1"/>
  <c r="K6" i="3" s="1"/>
  <c r="J44" i="3"/>
  <c r="J45" i="3" s="1"/>
  <c r="L6" i="3" s="1"/>
  <c r="K44" i="3"/>
  <c r="K45" i="3" s="1"/>
  <c r="M6" i="3" s="1"/>
  <c r="L44" i="3"/>
  <c r="L45" i="3" s="1"/>
  <c r="N6" i="3" s="1"/>
  <c r="C41" i="2"/>
  <c r="C42" i="2" s="1"/>
  <c r="E6" i="2" s="1"/>
  <c r="G41" i="2"/>
  <c r="G42" i="2" s="1"/>
  <c r="I6" i="2" s="1"/>
  <c r="K41" i="2"/>
  <c r="K42" i="2" s="1"/>
  <c r="M6" i="2" s="1"/>
  <c r="F41" i="2"/>
  <c r="F42" i="2" s="1"/>
  <c r="H6" i="2" s="1"/>
  <c r="I41" i="2"/>
  <c r="I42" i="2" s="1"/>
  <c r="K6" i="2" s="1"/>
  <c r="E41" i="2"/>
  <c r="E42" i="2" s="1"/>
  <c r="G6" i="2" s="1"/>
  <c r="L41" i="2"/>
  <c r="L42" i="2" s="1"/>
  <c r="N6" i="2" s="1"/>
  <c r="D41" i="2"/>
  <c r="D42" i="2" s="1"/>
  <c r="F6" i="2" s="1"/>
  <c r="H41" i="2"/>
  <c r="H42" i="2" s="1"/>
  <c r="J6" i="2" s="1"/>
  <c r="J41" i="2"/>
  <c r="J42" i="2" s="1"/>
  <c r="L6" i="2" s="1"/>
</calcChain>
</file>

<file path=xl/sharedStrings.xml><?xml version="1.0" encoding="utf-8"?>
<sst xmlns="http://schemas.openxmlformats.org/spreadsheetml/2006/main" count="311" uniqueCount="106">
  <si>
    <t>Input variables</t>
  </si>
  <si>
    <t>Allowable range</t>
  </si>
  <si>
    <t>Input Values</t>
  </si>
  <si>
    <t>Age, years</t>
  </si>
  <si>
    <t>30-79 years</t>
  </si>
  <si>
    <t xml:space="preserve">Total cholesterol (TC), mg/dl </t>
  </si>
  <si>
    <t>130 to 320 mg/dl</t>
  </si>
  <si>
    <t>High-density lipoprotein cholesterol (HDL-C), mg/dl</t>
  </si>
  <si>
    <t>20 to 100 mg/dl</t>
  </si>
  <si>
    <t>Systolic blood pressure (SBP), mmHg</t>
  </si>
  <si>
    <t>90 to 200 mmHg</t>
  </si>
  <si>
    <t>Diabetes, yes=1 no=0</t>
  </si>
  <si>
    <t>0 or 1</t>
  </si>
  <si>
    <t>Current smoking (Cursmk), yes=1 no=0</t>
  </si>
  <si>
    <r>
      <t>Body-mass index (BMI), kg/m</t>
    </r>
    <r>
      <rPr>
        <vertAlign val="superscript"/>
        <sz val="11"/>
        <rFont val="Aptos Narrow"/>
        <family val="2"/>
        <scheme val="minor"/>
      </rPr>
      <t>2</t>
    </r>
  </si>
  <si>
    <r>
      <t>18.5 to &lt;40 kg/m</t>
    </r>
    <r>
      <rPr>
        <vertAlign val="superscript"/>
        <sz val="11"/>
        <rFont val="Aptos Narrow"/>
        <family val="2"/>
        <scheme val="minor"/>
      </rPr>
      <t>2</t>
    </r>
  </si>
  <si>
    <r>
      <t>Estimated GFR (eGFR), ml/min/1.73m</t>
    </r>
    <r>
      <rPr>
        <vertAlign val="superscript"/>
        <sz val="11"/>
        <rFont val="Aptos Narrow"/>
        <family val="2"/>
        <scheme val="minor"/>
      </rPr>
      <t>2</t>
    </r>
  </si>
  <si>
    <r>
      <t>15 to 150 ml/min/1.73m</t>
    </r>
    <r>
      <rPr>
        <vertAlign val="superscript"/>
        <sz val="11"/>
        <rFont val="Aptos Narrow"/>
        <family val="2"/>
        <scheme val="minor"/>
      </rPr>
      <t>2</t>
    </r>
  </si>
  <si>
    <t>Anti-hypertension medication use (Antihtn), yes=1 no=0</t>
  </si>
  <si>
    <t>Statin use, yes=1 no=0</t>
  </si>
  <si>
    <t>Social Deprivation Index (SDI), decile</t>
  </si>
  <si>
    <t>1-10</t>
  </si>
  <si>
    <t xml:space="preserve">Output: Estimated 10-year Risk </t>
  </si>
  <si>
    <t>Total CVD</t>
  </si>
  <si>
    <t>ASCVD</t>
  </si>
  <si>
    <t>Heart Failure</t>
  </si>
  <si>
    <t>Coronary Heart Disease</t>
  </si>
  <si>
    <t>Stroke</t>
  </si>
  <si>
    <t>Women</t>
  </si>
  <si>
    <t>Men</t>
  </si>
  <si>
    <t>SDI = 7-10</t>
  </si>
  <si>
    <t>SDI = 4-6</t>
  </si>
  <si>
    <t>SDI = 1-3</t>
  </si>
  <si>
    <t>BASE</t>
  </si>
  <si>
    <r>
      <t>Body-mass index (BMI), kg/m</t>
    </r>
    <r>
      <rPr>
        <vertAlign val="superscript"/>
        <sz val="10"/>
        <rFont val="Arial"/>
        <family val="2"/>
      </rPr>
      <t>2</t>
    </r>
  </si>
  <si>
    <r>
      <t>18.5 to &lt;40 kg/m</t>
    </r>
    <r>
      <rPr>
        <vertAlign val="superscript"/>
        <sz val="10"/>
        <rFont val="Arial"/>
        <family val="2"/>
      </rPr>
      <t>2</t>
    </r>
  </si>
  <si>
    <r>
      <t>Estimated GFR (eGFR), ml/min/1.73m</t>
    </r>
    <r>
      <rPr>
        <vertAlign val="superscript"/>
        <sz val="10"/>
        <rFont val="Arial"/>
        <family val="2"/>
      </rPr>
      <t>2</t>
    </r>
  </si>
  <si>
    <r>
      <t>15 to 150 ml/min/1.73m</t>
    </r>
    <r>
      <rPr>
        <vertAlign val="superscript"/>
        <sz val="10"/>
        <rFont val="Arial"/>
        <family val="2"/>
      </rPr>
      <t>2</t>
    </r>
  </si>
  <si>
    <t>PREVENT 
Model</t>
  </si>
  <si>
    <t>Values pulled directly from Table S12A Base 10yr AND S12D SDI for 10 yr</t>
  </si>
  <si>
    <t>Output: Estimated 10-year Risk</t>
  </si>
  <si>
    <t>Table S12.A. Example calculation for 10 year cardiovascular risk simplified models - PREVENT Base model</t>
  </si>
  <si>
    <t xml:space="preserve">Note: Total CVD and ASCVD risks are less than the sum of their components since some individuals will develop more than one event. </t>
  </si>
  <si>
    <t>Table. Intermediate calculations for simplified PREVENT equations: Derived variables (include centering, scaling, splines and interactions) multiplied by the respective beta coefficients then added to calculate the risk</t>
  </si>
  <si>
    <t>Input variables and intermediate derived variables formula</t>
  </si>
  <si>
    <t>Derived values</t>
  </si>
  <si>
    <t>(Age-55)/10</t>
  </si>
  <si>
    <t>(TC – HDL-C) × 0.02586 (to convert to mmol/L) – 3.5</t>
  </si>
  <si>
    <t xml:space="preserve">(HDL-C × 0.02586 (to convert to mmol/L)  – 1.3) /0.3 </t>
  </si>
  <si>
    <t>(min(SBP, 110) – 110) /20</t>
  </si>
  <si>
    <t>(max(SBP, 110) – 130) /20</t>
  </si>
  <si>
    <t>Diabetes</t>
  </si>
  <si>
    <t>Cursmk</t>
  </si>
  <si>
    <t>(min(BMI, 30) – 25) /5</t>
  </si>
  <si>
    <t>(max(BMI, 30) – 30) /5</t>
  </si>
  <si>
    <t>(min(eGFR, 60) – 60) / -15</t>
  </si>
  <si>
    <t>(max(eGFR, 60)  – 90) / -15</t>
  </si>
  <si>
    <t>Antihtn</t>
  </si>
  <si>
    <t>Statin</t>
  </si>
  <si>
    <r>
      <t xml:space="preserve">(max(SBP, 110) – 130) /20 </t>
    </r>
    <r>
      <rPr>
        <sz val="11"/>
        <rFont val="Calibri"/>
        <family val="2"/>
      </rPr>
      <t>×</t>
    </r>
    <r>
      <rPr>
        <sz val="11"/>
        <rFont val="Aptos Narrow"/>
        <family val="2"/>
        <scheme val="minor"/>
      </rPr>
      <t xml:space="preserve"> Antihtn</t>
    </r>
  </si>
  <si>
    <t>((TC – HDL-C) × 0.02586 – 3.5) × Statin</t>
  </si>
  <si>
    <t xml:space="preserve">(age-55)/10 × ((TC – HDL-C) × 0.02586 – 3.5) </t>
  </si>
  <si>
    <t xml:space="preserve">(age-55)/10 × (HDL-C × 0.02586 – 1.3) /0.3 </t>
  </si>
  <si>
    <t>(age-55)/10 × (max(SBP, 110) – 130) /20</t>
  </si>
  <si>
    <t>(Age-55)/10 × Diabetes</t>
  </si>
  <si>
    <t>(Age-55)/10 × Cursmk</t>
  </si>
  <si>
    <t>(Age-55)/10 × (max(BMI, 30) – 30) /5</t>
  </si>
  <si>
    <t>(Age-55)/10 × (min(eGFR, 60) – 60) / -15</t>
  </si>
  <si>
    <t>Constant</t>
  </si>
  <si>
    <t xml:space="preserve">log-Odds </t>
  </si>
  <si>
    <t>NA (calculated from the inputs above)</t>
  </si>
  <si>
    <t>Risk</t>
  </si>
  <si>
    <t>Table. Beta coefficients for simplified PREVENT Equations (regression of log-odds of the risk from the full PREVENT model on risk factors) and goodness of fit statistics (R-square)</t>
  </si>
  <si>
    <t>Risk Factors</t>
  </si>
  <si>
    <t>Age per 10 years</t>
  </si>
  <si>
    <t>non-HDL-C per 1 mmol/L</t>
  </si>
  <si>
    <t>HDL-C per 0.3 mmol/L</t>
  </si>
  <si>
    <t>SBP &lt;110 per 20 mmHg</t>
  </si>
  <si>
    <t>SBP ≥110 per 20 mmHg</t>
  </si>
  <si>
    <t>Current smoking</t>
  </si>
  <si>
    <t>BMI &lt;30, per 5 kg/m2</t>
  </si>
  <si>
    <t>BMI 30+, per 5 kg/m2</t>
  </si>
  <si>
    <t>eGFR &lt;60, per -15 ml</t>
  </si>
  <si>
    <t>eGFR 60+, per -15 ml</t>
  </si>
  <si>
    <t>Anti-hypertensive use</t>
  </si>
  <si>
    <t>Statin use</t>
  </si>
  <si>
    <t>Treated SBP ≥110 mm Hg per 20 mm Hg</t>
  </si>
  <si>
    <t>Treated non-HDL-C</t>
  </si>
  <si>
    <t>Age per 10yr * non-HDL-C per 1 mmol/L</t>
  </si>
  <si>
    <t>Age per 10yr * HDL-C per 0.3 mml/L</t>
  </si>
  <si>
    <t>Age per 10yr * SBP ≥110 mm Hg per 20 mmHg</t>
  </si>
  <si>
    <t>Age per 10yr * diabetes</t>
  </si>
  <si>
    <t>Age per 10yr * current smoking</t>
  </si>
  <si>
    <t>Age per 10yr * BMI 30+ per 5 kg/m2</t>
  </si>
  <si>
    <t>Age per 10yr * eGFR &lt;60, per -15 ml</t>
  </si>
  <si>
    <t>*Beta coefficients can be interpreted as log odds ratios.  The dependent variable is the log-odds of the risk (log of risk /(1-risk)). Continous variables were centered at age 55, non-HDL-C 3.5, HDL-C 1.3, SBP 130, BMI 25, eGFR 90, ACR 1. Categorical variables used a value of 0 for no DM,  non-smoker, and no medication as the reference group. Therefore, the constant (intercept) applies to an individual with all of the values listed in this footnote. Appendix 4 provides the details of the computation, including the algebra for creating piece-wise linear splines (SBP, BMI, and eGFR).  Cholesterol (TC, HDL and calculated non-HDL-C) is converted to mmol/L from mg/dl by multiplying by 0.02586.  eGFR is calculated from serum creatinine using the CKD-EPI race free equation.</t>
  </si>
  <si>
    <t>R-square of the simplified risk equation regression</t>
  </si>
  <si>
    <t>Table S12.D. Example calculation for 10 year cardiovascular risk simplified models - PREVENT Enhanced for SDI</t>
  </si>
  <si>
    <t>IF(SDI decile between 4 and 6)</t>
  </si>
  <si>
    <t>IF(SDI decile between 7 and 10)</t>
  </si>
  <si>
    <t>SDI decile categories 4-6 vs. 1-3</t>
  </si>
  <si>
    <t>SDI decile categories 7-10 vs. 1-3</t>
  </si>
  <si>
    <t>Missing SDI</t>
  </si>
  <si>
    <t xml:space="preserve">Simplified equation calibration check using linear regression of base PREVENT model (Y) on this enhanced model (X) when the enhanced risk prediction variables are missing </t>
  </si>
  <si>
    <t>beta</t>
  </si>
  <si>
    <t>R-square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</si>
</sst>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%"/>
  </numFmts>
  <fonts count="1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vertAlign val="superscript"/>
      <sz val="11"/>
      <name val="Aptos Narrow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vertAlign val="superscript"/>
      <sz val="10"/>
      <name val="Arial"/>
      <family val="2"/>
    </font>
    <font>
      <sz val="10"/>
      <color rgb="FFFF0000"/>
      <name val="Arial"/>
      <family val="2"/>
    </font>
    <font>
      <i/>
      <sz val="10"/>
      <color theme="1"/>
      <name val="Arial"/>
      <family val="2"/>
    </font>
    <font>
      <b/>
      <sz val="10"/>
      <name val="Times New Roman"/>
      <family val="1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8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9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2" borderId="3" xfId="0" applyFont="1" applyFill="1" applyBorder="1"/>
    <xf numFmtId="0" fontId="3" fillId="0" borderId="4" xfId="0" applyFont="1" applyBorder="1"/>
    <xf numFmtId="0" fontId="3" fillId="0" borderId="0" xfId="0" applyFont="1"/>
    <xf numFmtId="0" fontId="3" fillId="2" borderId="5" xfId="0" applyFont="1" applyFill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4" xfId="0" applyFont="1" applyBorder="1" applyAlignment="1">
      <alignment vertical="center" wrapText="1"/>
    </xf>
    <xf numFmtId="16" fontId="3" fillId="0" borderId="7" xfId="0" applyNumberFormat="1" applyFont="1" applyBorder="1"/>
    <xf numFmtId="0" fontId="3" fillId="2" borderId="8" xfId="0" applyFont="1" applyFill="1" applyBorder="1" applyAlignment="1">
      <alignment horizontal="left" vertical="center"/>
    </xf>
    <xf numFmtId="0" fontId="0" fillId="0" borderId="0" xfId="0" applyBorder="1"/>
    <xf numFmtId="0" fontId="6" fillId="0" borderId="0" xfId="0" applyFont="1"/>
    <xf numFmtId="0" fontId="7" fillId="0" borderId="0" xfId="0" applyFont="1"/>
    <xf numFmtId="164" fontId="7" fillId="0" borderId="1" xfId="0" applyNumberFormat="1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164" fontId="7" fillId="0" borderId="3" xfId="0" applyNumberFormat="1" applyFont="1" applyBorder="1" applyAlignment="1">
      <alignment horizontal="center"/>
    </xf>
    <xf numFmtId="0" fontId="8" fillId="0" borderId="4" xfId="0" applyFont="1" applyBorder="1"/>
    <xf numFmtId="0" fontId="8" fillId="0" borderId="0" xfId="0" applyFont="1"/>
    <xf numFmtId="0" fontId="8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165" fontId="8" fillId="5" borderId="0" xfId="0" applyNumberFormat="1" applyFont="1" applyFill="1" applyBorder="1" applyAlignment="1">
      <alignment horizontal="center"/>
    </xf>
    <xf numFmtId="165" fontId="8" fillId="4" borderId="0" xfId="0" applyNumberFormat="1" applyFont="1" applyFill="1" applyBorder="1" applyAlignment="1">
      <alignment horizontal="center"/>
    </xf>
    <xf numFmtId="0" fontId="8" fillId="0" borderId="4" xfId="0" applyFont="1" applyBorder="1" applyAlignment="1">
      <alignment vertical="center" wrapText="1"/>
    </xf>
    <xf numFmtId="0" fontId="6" fillId="0" borderId="0" xfId="0" applyFont="1" applyBorder="1"/>
    <xf numFmtId="0" fontId="11" fillId="0" borderId="6" xfId="0" applyFont="1" applyBorder="1"/>
    <xf numFmtId="16" fontId="11" fillId="0" borderId="7" xfId="0" applyNumberFormat="1" applyFont="1" applyBorder="1"/>
    <xf numFmtId="0" fontId="8" fillId="2" borderId="5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7" fillId="5" borderId="4" xfId="0" applyFont="1" applyFill="1" applyBorder="1"/>
    <xf numFmtId="165" fontId="8" fillId="5" borderId="5" xfId="0" applyNumberFormat="1" applyFont="1" applyFill="1" applyBorder="1" applyAlignment="1">
      <alignment horizontal="center"/>
    </xf>
    <xf numFmtId="165" fontId="8" fillId="5" borderId="9" xfId="0" applyNumberFormat="1" applyFont="1" applyFill="1" applyBorder="1" applyAlignment="1">
      <alignment horizontal="center"/>
    </xf>
    <xf numFmtId="165" fontId="8" fillId="5" borderId="12" xfId="0" applyNumberFormat="1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4" borderId="4" xfId="0" applyFont="1" applyFill="1" applyBorder="1"/>
    <xf numFmtId="165" fontId="8" fillId="4" borderId="5" xfId="0" applyNumberFormat="1" applyFont="1" applyFill="1" applyBorder="1" applyAlignment="1">
      <alignment horizontal="center"/>
    </xf>
    <xf numFmtId="0" fontId="7" fillId="3" borderId="6" xfId="0" applyFont="1" applyFill="1" applyBorder="1"/>
    <xf numFmtId="165" fontId="8" fillId="3" borderId="7" xfId="1" applyNumberFormat="1" applyFont="1" applyFill="1" applyBorder="1" applyAlignment="1">
      <alignment horizontal="center"/>
    </xf>
    <xf numFmtId="165" fontId="8" fillId="3" borderId="8" xfId="1" applyNumberFormat="1" applyFont="1" applyFill="1" applyBorder="1" applyAlignment="1">
      <alignment horizontal="center"/>
    </xf>
    <xf numFmtId="0" fontId="9" fillId="2" borderId="13" xfId="0" applyFont="1" applyFill="1" applyBorder="1"/>
    <xf numFmtId="165" fontId="6" fillId="2" borderId="18" xfId="0" applyNumberFormat="1" applyFont="1" applyFill="1" applyBorder="1" applyAlignment="1">
      <alignment horizontal="center"/>
    </xf>
    <xf numFmtId="165" fontId="6" fillId="2" borderId="19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65" fontId="6" fillId="2" borderId="20" xfId="0" applyNumberFormat="1" applyFont="1" applyFill="1" applyBorder="1" applyAlignment="1">
      <alignment horizontal="center"/>
    </xf>
    <xf numFmtId="165" fontId="8" fillId="4" borderId="9" xfId="0" applyNumberFormat="1" applyFont="1" applyFill="1" applyBorder="1" applyAlignment="1">
      <alignment horizontal="center"/>
    </xf>
    <xf numFmtId="165" fontId="8" fillId="3" borderId="10" xfId="1" applyNumberFormat="1" applyFont="1" applyFill="1" applyBorder="1" applyAlignment="1">
      <alignment horizontal="center"/>
    </xf>
    <xf numFmtId="165" fontId="6" fillId="2" borderId="21" xfId="0" applyNumberFormat="1" applyFont="1" applyFill="1" applyBorder="1" applyAlignment="1">
      <alignment horizontal="center"/>
    </xf>
    <xf numFmtId="165" fontId="8" fillId="4" borderId="12" xfId="0" applyNumberFormat="1" applyFont="1" applyFill="1" applyBorder="1" applyAlignment="1">
      <alignment horizontal="center"/>
    </xf>
    <xf numFmtId="165" fontId="8" fillId="3" borderId="11" xfId="1" applyNumberFormat="1" applyFont="1" applyFill="1" applyBorder="1" applyAlignment="1">
      <alignment horizontal="center"/>
    </xf>
    <xf numFmtId="0" fontId="7" fillId="0" borderId="22" xfId="0" applyFont="1" applyBorder="1"/>
    <xf numFmtId="0" fontId="7" fillId="0" borderId="16" xfId="0" applyFont="1" applyBorder="1"/>
    <xf numFmtId="0" fontId="7" fillId="2" borderId="17" xfId="0" applyFont="1" applyFill="1" applyBorder="1" applyAlignment="1">
      <alignment horizontal="center"/>
    </xf>
    <xf numFmtId="0" fontId="12" fillId="0" borderId="0" xfId="0" applyFont="1"/>
    <xf numFmtId="0" fontId="2" fillId="0" borderId="0" xfId="0" applyFont="1"/>
    <xf numFmtId="164" fontId="2" fillId="0" borderId="1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165" fontId="3" fillId="2" borderId="6" xfId="1" applyNumberFormat="1" applyFont="1" applyFill="1" applyBorder="1" applyAlignment="1">
      <alignment horizontal="center"/>
    </xf>
    <xf numFmtId="165" fontId="3" fillId="2" borderId="7" xfId="1" applyNumberFormat="1" applyFont="1" applyFill="1" applyBorder="1" applyAlignment="1">
      <alignment horizontal="center"/>
    </xf>
    <xf numFmtId="165" fontId="3" fillId="2" borderId="8" xfId="1" applyNumberFormat="1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6" xfId="0" applyFont="1" applyBorder="1"/>
    <xf numFmtId="0" fontId="3" fillId="0" borderId="7" xfId="0" applyFont="1" applyBorder="1" applyAlignment="1">
      <alignment horizontal="left" vertical="center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 wrapText="1"/>
    </xf>
    <xf numFmtId="0" fontId="13" fillId="0" borderId="0" xfId="0" applyFont="1"/>
    <xf numFmtId="10" fontId="3" fillId="0" borderId="0" xfId="1" applyNumberFormat="1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14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2D2E3-93D3-9B46-99C2-BBA444ED8273}">
  <dimension ref="A1:P17"/>
  <sheetViews>
    <sheetView workbookViewId="0">
      <selection activeCell="J15" sqref="J15"/>
    </sheetView>
  </sheetViews>
  <sheetFormatPr baseColWidth="10" defaultRowHeight="16" x14ac:dyDescent="0.2"/>
  <cols>
    <col min="1" max="1" width="41.1640625" customWidth="1"/>
    <col min="2" max="2" width="21.6640625" customWidth="1"/>
    <col min="3" max="3" width="12.33203125" customWidth="1"/>
  </cols>
  <sheetData>
    <row r="1" spans="1:16" ht="17" thickBot="1" x14ac:dyDescent="0.2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6" ht="16" customHeight="1" thickBot="1" x14ac:dyDescent="0.25">
      <c r="A2" s="60" t="s">
        <v>0</v>
      </c>
      <c r="B2" s="61" t="s">
        <v>1</v>
      </c>
      <c r="C2" s="62" t="s">
        <v>2</v>
      </c>
      <c r="D2" s="14"/>
      <c r="E2" s="16" t="s">
        <v>40</v>
      </c>
      <c r="F2" s="17"/>
      <c r="G2" s="17"/>
      <c r="H2" s="17"/>
      <c r="I2" s="17"/>
      <c r="J2" s="17"/>
      <c r="K2" s="17"/>
      <c r="L2" s="17"/>
      <c r="M2" s="17"/>
      <c r="N2" s="17"/>
      <c r="O2" s="18"/>
    </row>
    <row r="3" spans="1:16" ht="17" customHeight="1" x14ac:dyDescent="0.2">
      <c r="A3" s="19" t="s">
        <v>3</v>
      </c>
      <c r="B3" s="20" t="s">
        <v>4</v>
      </c>
      <c r="C3" s="30">
        <v>50</v>
      </c>
      <c r="D3" s="14"/>
      <c r="E3" s="52" t="s">
        <v>38</v>
      </c>
      <c r="F3" s="40" t="s">
        <v>23</v>
      </c>
      <c r="G3" s="41"/>
      <c r="H3" s="42" t="s">
        <v>24</v>
      </c>
      <c r="I3" s="42"/>
      <c r="J3" s="40" t="s">
        <v>25</v>
      </c>
      <c r="K3" s="41"/>
      <c r="L3" s="42" t="s">
        <v>26</v>
      </c>
      <c r="M3" s="42"/>
      <c r="N3" s="40" t="s">
        <v>27</v>
      </c>
      <c r="O3" s="43"/>
    </row>
    <row r="4" spans="1:16" x14ac:dyDescent="0.2">
      <c r="A4" s="19" t="s">
        <v>5</v>
      </c>
      <c r="B4" s="20" t="s">
        <v>6</v>
      </c>
      <c r="C4" s="30">
        <v>200</v>
      </c>
      <c r="D4" s="14"/>
      <c r="E4" s="53"/>
      <c r="F4" s="36" t="s">
        <v>28</v>
      </c>
      <c r="G4" s="37" t="s">
        <v>29</v>
      </c>
      <c r="H4" s="38" t="s">
        <v>28</v>
      </c>
      <c r="I4" s="38" t="s">
        <v>29</v>
      </c>
      <c r="J4" s="36" t="s">
        <v>28</v>
      </c>
      <c r="K4" s="37" t="s">
        <v>29</v>
      </c>
      <c r="L4" s="38" t="s">
        <v>28</v>
      </c>
      <c r="M4" s="38" t="s">
        <v>29</v>
      </c>
      <c r="N4" s="36" t="s">
        <v>28</v>
      </c>
      <c r="O4" s="39" t="s">
        <v>29</v>
      </c>
    </row>
    <row r="5" spans="1:16" x14ac:dyDescent="0.2">
      <c r="A5" s="19" t="s">
        <v>7</v>
      </c>
      <c r="B5" s="20" t="s">
        <v>8</v>
      </c>
      <c r="C5" s="30">
        <v>45</v>
      </c>
      <c r="D5" s="14"/>
      <c r="E5" s="49" t="s">
        <v>33</v>
      </c>
      <c r="F5" s="54">
        <v>0.14683939095644824</v>
      </c>
      <c r="G5" s="57">
        <v>0.16317056158151638</v>
      </c>
      <c r="H5" s="50">
        <v>9.1950897536328721E-2</v>
      </c>
      <c r="I5" s="50">
        <v>0.10194362642179755</v>
      </c>
      <c r="J5" s="54">
        <v>8.0560967779142567E-2</v>
      </c>
      <c r="K5" s="57">
        <v>0.10591096013400046</v>
      </c>
      <c r="L5" s="50">
        <v>4.4096667638944001E-2</v>
      </c>
      <c r="M5" s="50">
        <v>5.5660856263050118E-2</v>
      </c>
      <c r="N5" s="54">
        <v>5.4007794606351675E-2</v>
      </c>
      <c r="O5" s="51">
        <v>5.2070696442453601E-2</v>
      </c>
      <c r="P5" s="13"/>
    </row>
    <row r="6" spans="1:16" x14ac:dyDescent="0.2">
      <c r="A6" s="21" t="s">
        <v>9</v>
      </c>
      <c r="B6" s="22" t="s">
        <v>10</v>
      </c>
      <c r="C6" s="30">
        <v>160</v>
      </c>
      <c r="D6" s="14"/>
      <c r="E6" s="44" t="s">
        <v>32</v>
      </c>
      <c r="F6" s="55">
        <v>0.12716078273774972</v>
      </c>
      <c r="G6" s="58">
        <v>0.1427719174685983</v>
      </c>
      <c r="H6" s="25">
        <v>8.027981243356698E-2</v>
      </c>
      <c r="I6" s="25">
        <v>8.821962188840704E-2</v>
      </c>
      <c r="J6" s="55">
        <v>7.0426150802992707E-2</v>
      </c>
      <c r="K6" s="58">
        <v>8.8870399570558659E-2</v>
      </c>
      <c r="L6" s="25">
        <v>3.8021437351763047E-2</v>
      </c>
      <c r="M6" s="25">
        <v>4.9481408995253814E-2</v>
      </c>
      <c r="N6" s="55">
        <v>4.7140112345703027E-2</v>
      </c>
      <c r="O6" s="45">
        <v>4.3230135532828735E-2</v>
      </c>
      <c r="P6" s="13"/>
    </row>
    <row r="7" spans="1:16" x14ac:dyDescent="0.2">
      <c r="A7" s="19" t="s">
        <v>11</v>
      </c>
      <c r="B7" s="23" t="s">
        <v>12</v>
      </c>
      <c r="C7" s="30">
        <v>1</v>
      </c>
      <c r="D7" s="14"/>
      <c r="E7" s="32" t="s">
        <v>31</v>
      </c>
      <c r="F7" s="34">
        <v>0.14405370236113693</v>
      </c>
      <c r="G7" s="35">
        <v>0.1540029975387586</v>
      </c>
      <c r="H7" s="24">
        <v>9.1856002552627825E-2</v>
      </c>
      <c r="I7" s="24">
        <v>9.4255716710215195E-2</v>
      </c>
      <c r="J7" s="34">
        <v>7.9744043185578498E-2</v>
      </c>
      <c r="K7" s="35">
        <v>9.9396980472171451E-2</v>
      </c>
      <c r="L7" s="24">
        <v>4.4878761240070605E-2</v>
      </c>
      <c r="M7" s="24">
        <v>5.3305844689264956E-2</v>
      </c>
      <c r="N7" s="34">
        <v>5.2447991275609465E-2</v>
      </c>
      <c r="O7" s="33">
        <v>4.6925544024357072E-2</v>
      </c>
      <c r="P7" s="13"/>
    </row>
    <row r="8" spans="1:16" ht="17" thickBot="1" x14ac:dyDescent="0.25">
      <c r="A8" s="19" t="s">
        <v>13</v>
      </c>
      <c r="B8" s="23" t="s">
        <v>12</v>
      </c>
      <c r="C8" s="30">
        <v>0</v>
      </c>
      <c r="D8" s="14"/>
      <c r="E8" s="46" t="s">
        <v>30</v>
      </c>
      <c r="F8" s="56">
        <v>0.1565456427896422</v>
      </c>
      <c r="G8" s="59">
        <v>0.18234221797505024</v>
      </c>
      <c r="H8" s="47">
        <v>0.10034803473666953</v>
      </c>
      <c r="I8" s="47">
        <v>0.11373705460993858</v>
      </c>
      <c r="J8" s="56">
        <v>8.8627509031656476E-2</v>
      </c>
      <c r="K8" s="59">
        <v>0.12257323285777438</v>
      </c>
      <c r="L8" s="47">
        <v>4.8158891937446387E-2</v>
      </c>
      <c r="M8" s="47">
        <v>6.2448879095301488E-2</v>
      </c>
      <c r="N8" s="56">
        <v>5.8436324320371096E-2</v>
      </c>
      <c r="O8" s="48">
        <v>5.9475415120951225E-2</v>
      </c>
      <c r="P8" s="13"/>
    </row>
    <row r="9" spans="1:16" ht="17" customHeight="1" x14ac:dyDescent="0.2">
      <c r="A9" s="26" t="s">
        <v>34</v>
      </c>
      <c r="B9" s="22" t="s">
        <v>35</v>
      </c>
      <c r="C9" s="30">
        <v>35</v>
      </c>
      <c r="D9" s="14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13"/>
    </row>
    <row r="10" spans="1:16" x14ac:dyDescent="0.2">
      <c r="A10" s="21" t="s">
        <v>36</v>
      </c>
      <c r="B10" s="22" t="s">
        <v>37</v>
      </c>
      <c r="C10" s="30">
        <v>90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6" x14ac:dyDescent="0.2">
      <c r="A11" s="19" t="s">
        <v>18</v>
      </c>
      <c r="B11" s="23" t="s">
        <v>12</v>
      </c>
      <c r="C11" s="30">
        <v>1</v>
      </c>
      <c r="D11" s="14"/>
    </row>
    <row r="12" spans="1:16" x14ac:dyDescent="0.2">
      <c r="A12" s="19" t="s">
        <v>19</v>
      </c>
      <c r="B12" s="23" t="s">
        <v>12</v>
      </c>
      <c r="C12" s="30">
        <v>0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spans="1:16" ht="17" thickBot="1" x14ac:dyDescent="0.25">
      <c r="A13" s="28" t="s">
        <v>20</v>
      </c>
      <c r="B13" s="29" t="s">
        <v>21</v>
      </c>
      <c r="C13" s="31">
        <v>8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spans="1:16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spans="1:16" x14ac:dyDescent="0.2">
      <c r="A15" s="63" t="s">
        <v>39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spans="1:16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spans="1:15" x14ac:dyDescent="0.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</sheetData>
  <mergeCells count="7">
    <mergeCell ref="E3:E4"/>
    <mergeCell ref="E2:O2"/>
    <mergeCell ref="F3:G3"/>
    <mergeCell ref="H3:I3"/>
    <mergeCell ref="J3:K3"/>
    <mergeCell ref="L3:M3"/>
    <mergeCell ref="N3: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DA0B2-BD2E-4241-9734-E9104A14059C}">
  <dimension ref="A1:N75"/>
  <sheetViews>
    <sheetView workbookViewId="0">
      <selection sqref="A1:XFD1048576"/>
    </sheetView>
  </sheetViews>
  <sheetFormatPr baseColWidth="10" defaultColWidth="8.83203125" defaultRowHeight="15" x14ac:dyDescent="0.2"/>
  <cols>
    <col min="1" max="1" width="48.5" style="5" customWidth="1"/>
    <col min="2" max="2" width="23.83203125" style="5" customWidth="1"/>
    <col min="3" max="12" width="11.5" style="5" customWidth="1"/>
    <col min="13" max="14" width="11.1640625" style="5" customWidth="1"/>
    <col min="15" max="16384" width="8.83203125" style="5"/>
  </cols>
  <sheetData>
    <row r="1" spans="1:14" x14ac:dyDescent="0.2">
      <c r="A1" s="64" t="s">
        <v>41</v>
      </c>
      <c r="B1" s="64"/>
      <c r="C1" s="64"/>
      <c r="D1" s="64"/>
    </row>
    <row r="2" spans="1:14" ht="16" thickBot="1" x14ac:dyDescent="0.25">
      <c r="A2" s="64"/>
      <c r="B2" s="64"/>
      <c r="C2" s="64"/>
      <c r="D2" s="64"/>
    </row>
    <row r="3" spans="1:14" x14ac:dyDescent="0.2">
      <c r="A3" s="1" t="s">
        <v>0</v>
      </c>
      <c r="B3" s="2" t="s">
        <v>1</v>
      </c>
      <c r="C3" s="3" t="s">
        <v>2</v>
      </c>
      <c r="D3" s="64"/>
      <c r="E3" s="65" t="s">
        <v>22</v>
      </c>
      <c r="F3" s="66"/>
      <c r="G3" s="66"/>
      <c r="H3" s="66"/>
      <c r="I3" s="66"/>
      <c r="J3" s="66"/>
      <c r="K3" s="66"/>
      <c r="L3" s="66"/>
      <c r="M3" s="66"/>
      <c r="N3" s="67"/>
    </row>
    <row r="4" spans="1:14" x14ac:dyDescent="0.2">
      <c r="A4" s="4" t="s">
        <v>3</v>
      </c>
      <c r="B4" s="5" t="s">
        <v>4</v>
      </c>
      <c r="C4" s="6">
        <v>50</v>
      </c>
      <c r="D4" s="64"/>
      <c r="E4" s="68" t="s">
        <v>23</v>
      </c>
      <c r="F4" s="69"/>
      <c r="G4" s="69" t="s">
        <v>24</v>
      </c>
      <c r="H4" s="69"/>
      <c r="I4" s="69" t="s">
        <v>25</v>
      </c>
      <c r="J4" s="69"/>
      <c r="K4" s="69" t="s">
        <v>26</v>
      </c>
      <c r="L4" s="69"/>
      <c r="M4" s="69" t="s">
        <v>27</v>
      </c>
      <c r="N4" s="70"/>
    </row>
    <row r="5" spans="1:14" x14ac:dyDescent="0.2">
      <c r="A5" s="4" t="s">
        <v>5</v>
      </c>
      <c r="B5" s="5" t="s">
        <v>6</v>
      </c>
      <c r="C5" s="6">
        <v>200</v>
      </c>
      <c r="D5" s="64"/>
      <c r="E5" s="71" t="s">
        <v>28</v>
      </c>
      <c r="F5" s="72" t="s">
        <v>29</v>
      </c>
      <c r="G5" s="72" t="s">
        <v>28</v>
      </c>
      <c r="H5" s="72" t="s">
        <v>29</v>
      </c>
      <c r="I5" s="72" t="s">
        <v>28</v>
      </c>
      <c r="J5" s="72" t="s">
        <v>29</v>
      </c>
      <c r="K5" s="72" t="s">
        <v>28</v>
      </c>
      <c r="L5" s="72" t="s">
        <v>29</v>
      </c>
      <c r="M5" s="72" t="s">
        <v>28</v>
      </c>
      <c r="N5" s="73" t="s">
        <v>29</v>
      </c>
    </row>
    <row r="6" spans="1:14" ht="16" thickBot="1" x14ac:dyDescent="0.25">
      <c r="A6" s="4" t="s">
        <v>7</v>
      </c>
      <c r="B6" s="5" t="s">
        <v>8</v>
      </c>
      <c r="C6" s="6">
        <v>45</v>
      </c>
      <c r="D6" s="64"/>
      <c r="E6" s="74">
        <f t="shared" ref="E6:N6" si="0">C42</f>
        <v>0.14683939095644824</v>
      </c>
      <c r="F6" s="75">
        <f t="shared" si="0"/>
        <v>0.16317056158151638</v>
      </c>
      <c r="G6" s="75">
        <f t="shared" si="0"/>
        <v>9.1950897536328721E-2</v>
      </c>
      <c r="H6" s="75">
        <f t="shared" si="0"/>
        <v>0.10194362642179755</v>
      </c>
      <c r="I6" s="75">
        <f t="shared" si="0"/>
        <v>8.0560967779142567E-2</v>
      </c>
      <c r="J6" s="75">
        <f t="shared" si="0"/>
        <v>0.10591096013400046</v>
      </c>
      <c r="K6" s="75">
        <f t="shared" si="0"/>
        <v>4.4096667638944001E-2</v>
      </c>
      <c r="L6" s="75">
        <f t="shared" si="0"/>
        <v>5.5660856263050118E-2</v>
      </c>
      <c r="M6" s="75">
        <f t="shared" si="0"/>
        <v>5.4007794606351675E-2</v>
      </c>
      <c r="N6" s="76">
        <f t="shared" si="0"/>
        <v>5.2070696442453601E-2</v>
      </c>
    </row>
    <row r="7" spans="1:14" x14ac:dyDescent="0.2">
      <c r="A7" s="7" t="s">
        <v>9</v>
      </c>
      <c r="B7" s="8" t="s">
        <v>10</v>
      </c>
      <c r="C7" s="6">
        <v>160</v>
      </c>
      <c r="D7" s="64"/>
      <c r="E7" s="5" t="s">
        <v>42</v>
      </c>
    </row>
    <row r="8" spans="1:14" x14ac:dyDescent="0.2">
      <c r="A8" s="4" t="s">
        <v>11</v>
      </c>
      <c r="B8" s="9" t="s">
        <v>12</v>
      </c>
      <c r="C8" s="6">
        <v>1</v>
      </c>
      <c r="D8" s="64"/>
    </row>
    <row r="9" spans="1:14" x14ac:dyDescent="0.2">
      <c r="A9" s="4" t="s">
        <v>13</v>
      </c>
      <c r="B9" s="9" t="s">
        <v>12</v>
      </c>
      <c r="C9" s="6">
        <v>0</v>
      </c>
      <c r="D9" s="64"/>
    </row>
    <row r="10" spans="1:14" ht="14.5" customHeight="1" x14ac:dyDescent="0.2">
      <c r="A10" s="10" t="s">
        <v>14</v>
      </c>
      <c r="B10" s="8" t="s">
        <v>15</v>
      </c>
      <c r="C10" s="6">
        <v>35</v>
      </c>
      <c r="D10" s="64"/>
      <c r="E10" s="77"/>
      <c r="F10" s="77"/>
      <c r="G10" s="77"/>
      <c r="H10" s="77"/>
      <c r="I10" s="77"/>
      <c r="J10" s="77"/>
      <c r="K10" s="77"/>
      <c r="L10" s="77"/>
      <c r="M10" s="77"/>
      <c r="N10" s="77"/>
    </row>
    <row r="11" spans="1:14" ht="14.5" customHeight="1" x14ac:dyDescent="0.2">
      <c r="A11" s="7" t="s">
        <v>16</v>
      </c>
      <c r="B11" s="8" t="s">
        <v>17</v>
      </c>
      <c r="C11" s="6">
        <v>90</v>
      </c>
      <c r="D11" s="64"/>
      <c r="E11" s="77"/>
      <c r="F11" s="77"/>
      <c r="G11" s="77"/>
      <c r="H11" s="77"/>
      <c r="I11" s="77"/>
      <c r="J11" s="77"/>
      <c r="K11" s="77"/>
      <c r="L11" s="77"/>
      <c r="M11" s="77"/>
      <c r="N11" s="77"/>
    </row>
    <row r="12" spans="1:14" x14ac:dyDescent="0.2">
      <c r="A12" s="4" t="s">
        <v>18</v>
      </c>
      <c r="B12" s="9" t="s">
        <v>12</v>
      </c>
      <c r="C12" s="6">
        <v>1</v>
      </c>
      <c r="D12" s="64"/>
      <c r="E12" s="77"/>
      <c r="F12" s="77"/>
      <c r="G12" s="77"/>
      <c r="H12" s="77"/>
      <c r="I12" s="77"/>
      <c r="J12" s="77"/>
      <c r="K12" s="77"/>
      <c r="L12" s="77"/>
      <c r="M12" s="77"/>
      <c r="N12" s="77"/>
    </row>
    <row r="13" spans="1:14" ht="16" thickBot="1" x14ac:dyDescent="0.25">
      <c r="A13" s="78" t="s">
        <v>19</v>
      </c>
      <c r="B13" s="79" t="s">
        <v>12</v>
      </c>
      <c r="C13" s="12">
        <v>0</v>
      </c>
      <c r="D13" s="64"/>
      <c r="E13" s="77"/>
      <c r="F13" s="77"/>
      <c r="G13" s="77"/>
      <c r="H13" s="77"/>
      <c r="I13" s="77"/>
      <c r="J13" s="77"/>
      <c r="K13" s="77"/>
      <c r="L13" s="77"/>
      <c r="M13" s="77"/>
      <c r="N13" s="77"/>
    </row>
    <row r="14" spans="1:14" x14ac:dyDescent="0.2">
      <c r="A14" s="64"/>
      <c r="B14" s="64"/>
      <c r="C14" s="64"/>
      <c r="D14" s="64"/>
      <c r="E14" s="77"/>
      <c r="F14" s="77"/>
      <c r="G14" s="77"/>
      <c r="H14" s="77"/>
      <c r="I14" s="77"/>
      <c r="J14" s="77"/>
      <c r="K14" s="77"/>
      <c r="L14" s="77"/>
      <c r="M14" s="77"/>
      <c r="N14" s="77"/>
    </row>
    <row r="15" spans="1:14" x14ac:dyDescent="0.2">
      <c r="A15" s="64" t="s">
        <v>43</v>
      </c>
      <c r="B15" s="64"/>
      <c r="C15" s="64"/>
      <c r="D15" s="64"/>
      <c r="E15" s="77"/>
      <c r="F15" s="77"/>
      <c r="G15" s="77"/>
      <c r="H15" s="77"/>
      <c r="I15" s="77"/>
      <c r="J15" s="77"/>
      <c r="K15" s="77"/>
      <c r="L15" s="77"/>
      <c r="M15" s="77"/>
      <c r="N15" s="77"/>
    </row>
    <row r="16" spans="1:14" x14ac:dyDescent="0.2">
      <c r="A16" s="80" t="s">
        <v>44</v>
      </c>
      <c r="B16" s="80" t="s">
        <v>45</v>
      </c>
      <c r="C16" s="69" t="s">
        <v>23</v>
      </c>
      <c r="D16" s="69"/>
      <c r="E16" s="69" t="s">
        <v>24</v>
      </c>
      <c r="F16" s="69"/>
      <c r="G16" s="69" t="s">
        <v>25</v>
      </c>
      <c r="H16" s="69"/>
      <c r="I16" s="69" t="s">
        <v>26</v>
      </c>
      <c r="J16" s="69"/>
      <c r="K16" s="69" t="s">
        <v>27</v>
      </c>
      <c r="L16" s="69"/>
    </row>
    <row r="17" spans="1:12" x14ac:dyDescent="0.2">
      <c r="A17" s="80"/>
      <c r="B17" s="80"/>
      <c r="C17" s="72" t="s">
        <v>28</v>
      </c>
      <c r="D17" s="72" t="s">
        <v>29</v>
      </c>
      <c r="E17" s="72" t="s">
        <v>28</v>
      </c>
      <c r="F17" s="72" t="s">
        <v>29</v>
      </c>
      <c r="G17" s="72" t="s">
        <v>28</v>
      </c>
      <c r="H17" s="72" t="s">
        <v>29</v>
      </c>
      <c r="I17" s="72" t="s">
        <v>28</v>
      </c>
      <c r="J17" s="72" t="s">
        <v>29</v>
      </c>
      <c r="K17" s="72" t="s">
        <v>28</v>
      </c>
      <c r="L17" s="72" t="s">
        <v>29</v>
      </c>
    </row>
    <row r="18" spans="1:12" x14ac:dyDescent="0.2">
      <c r="A18" s="5" t="s">
        <v>46</v>
      </c>
      <c r="B18" s="9">
        <f>IF(AND(C4&gt;=30,C4&lt;80),(C4-55)/10, "out of range")</f>
        <v>-0.5</v>
      </c>
      <c r="C18" s="9">
        <f t="shared" ref="C18:L33" si="1">$B18*C47</f>
        <v>-0.39696645000000003</v>
      </c>
      <c r="D18" s="9">
        <f t="shared" si="1"/>
        <v>-0.3844264</v>
      </c>
      <c r="E18" s="9">
        <f t="shared" si="1"/>
        <v>-0.35994150000000003</v>
      </c>
      <c r="F18" s="9">
        <f t="shared" si="1"/>
        <v>-0.35499235000000001</v>
      </c>
      <c r="G18" s="9">
        <f t="shared" si="1"/>
        <v>-0.44991175</v>
      </c>
      <c r="H18" s="9">
        <f t="shared" si="1"/>
        <v>-0.44863209999999998</v>
      </c>
      <c r="I18" s="9">
        <f t="shared" si="1"/>
        <v>-0.37935730000000001</v>
      </c>
      <c r="J18" s="9">
        <f t="shared" si="1"/>
        <v>-0.37116415000000003</v>
      </c>
      <c r="K18" s="9">
        <f t="shared" si="1"/>
        <v>-0.34539245000000002</v>
      </c>
      <c r="L18" s="9">
        <f t="shared" si="1"/>
        <v>-0.36125649999999998</v>
      </c>
    </row>
    <row r="19" spans="1:12" x14ac:dyDescent="0.2">
      <c r="A19" s="5" t="s">
        <v>47</v>
      </c>
      <c r="B19" s="9">
        <f>IF(AND(C5&gt;=130,C5&lt;=320,C6&gt;=20,C6&lt;=100),(C5-C6)*0.02586-3.5,"out of range")</f>
        <v>0.5083000000000002</v>
      </c>
      <c r="C19" s="9">
        <f t="shared" si="1"/>
        <v>1.5515298370000007E-2</v>
      </c>
      <c r="D19" s="9">
        <f t="shared" si="1"/>
        <v>3.7419724420000015E-2</v>
      </c>
      <c r="E19" s="9">
        <f t="shared" si="1"/>
        <v>5.9825232610000022E-2</v>
      </c>
      <c r="F19" s="9">
        <f t="shared" si="1"/>
        <v>8.4309840290000035E-2</v>
      </c>
      <c r="G19" s="9">
        <f t="shared" si="1"/>
        <v>0</v>
      </c>
      <c r="H19" s="9">
        <f t="shared" si="1"/>
        <v>0</v>
      </c>
      <c r="I19" s="9">
        <f t="shared" si="1"/>
        <v>9.2050537670000043E-2</v>
      </c>
      <c r="J19" s="9">
        <f t="shared" si="1"/>
        <v>0.13074030047000007</v>
      </c>
      <c r="K19" s="9">
        <f t="shared" si="1"/>
        <v>2.715740157000001E-2</v>
      </c>
      <c r="L19" s="9">
        <f t="shared" si="1"/>
        <v>1.3385978840000005E-2</v>
      </c>
    </row>
    <row r="20" spans="1:12" x14ac:dyDescent="0.2">
      <c r="A20" s="5" t="s">
        <v>48</v>
      </c>
      <c r="B20" s="9">
        <f>IF(AND(C6&gt;=20,C6&lt;=100),(C6*0.02586-1.3)/0.3,"out of range")</f>
        <v>-0.45433333333333364</v>
      </c>
      <c r="C20" s="9">
        <f t="shared" si="1"/>
        <v>7.3004869700000044E-2</v>
      </c>
      <c r="D20" s="9">
        <f t="shared" si="1"/>
        <v>4.3362981766666697E-2</v>
      </c>
      <c r="E20" s="9">
        <f t="shared" si="1"/>
        <v>6.868838500000006E-2</v>
      </c>
      <c r="F20" s="9">
        <f t="shared" si="1"/>
        <v>5.1988681833333369E-2</v>
      </c>
      <c r="G20" s="9">
        <f t="shared" si="1"/>
        <v>0</v>
      </c>
      <c r="H20" s="9">
        <f t="shared" si="1"/>
        <v>0</v>
      </c>
      <c r="I20" s="9">
        <f t="shared" si="1"/>
        <v>9.1525768033333399E-2</v>
      </c>
      <c r="J20" s="9">
        <f t="shared" si="1"/>
        <v>8.2705658733333381E-2</v>
      </c>
      <c r="K20" s="9">
        <f t="shared" si="1"/>
        <v>4.7937118900000034E-2</v>
      </c>
      <c r="L20" s="9">
        <f t="shared" si="1"/>
        <v>1.131103723333334E-2</v>
      </c>
    </row>
    <row r="21" spans="1:12" x14ac:dyDescent="0.2">
      <c r="A21" s="5" t="s">
        <v>49</v>
      </c>
      <c r="B21" s="9">
        <f>IF(AND(C7&gt;=90,C7&lt;=200),(MIN(C7,110)-110)/20,"out of range")</f>
        <v>0</v>
      </c>
      <c r="C21" s="9">
        <f t="shared" si="1"/>
        <v>0</v>
      </c>
      <c r="D21" s="9">
        <f t="shared" si="1"/>
        <v>0</v>
      </c>
      <c r="E21" s="9">
        <f t="shared" si="1"/>
        <v>0</v>
      </c>
      <c r="F21" s="9">
        <f t="shared" si="1"/>
        <v>0</v>
      </c>
      <c r="G21" s="9">
        <f t="shared" si="1"/>
        <v>0</v>
      </c>
      <c r="H21" s="9">
        <f t="shared" si="1"/>
        <v>0</v>
      </c>
      <c r="I21" s="9">
        <f t="shared" si="1"/>
        <v>0</v>
      </c>
      <c r="J21" s="9">
        <f t="shared" si="1"/>
        <v>0</v>
      </c>
      <c r="K21" s="9">
        <f t="shared" si="1"/>
        <v>0</v>
      </c>
      <c r="L21" s="9">
        <f t="shared" si="1"/>
        <v>0</v>
      </c>
    </row>
    <row r="22" spans="1:12" x14ac:dyDescent="0.2">
      <c r="A22" s="5" t="s">
        <v>50</v>
      </c>
      <c r="B22" s="9">
        <f>IF(AND(C7&gt;=90,C7&lt;=200),(MAX(C7,110)-130)/20,"out of range")</f>
        <v>1.5</v>
      </c>
      <c r="C22" s="9">
        <f t="shared" si="1"/>
        <v>0.54011715000000005</v>
      </c>
      <c r="D22" s="9">
        <f t="shared" si="1"/>
        <v>0.50439869999999998</v>
      </c>
      <c r="E22" s="9">
        <f t="shared" si="1"/>
        <v>0.53892780000000007</v>
      </c>
      <c r="F22" s="9">
        <f t="shared" si="1"/>
        <v>0.48599654999999997</v>
      </c>
      <c r="G22" s="9">
        <f t="shared" si="1"/>
        <v>0.53647574999999992</v>
      </c>
      <c r="H22" s="9">
        <f t="shared" si="1"/>
        <v>0.54516914999999999</v>
      </c>
      <c r="I22" s="9">
        <f t="shared" si="1"/>
        <v>0.53215964999999998</v>
      </c>
      <c r="J22" s="9">
        <f t="shared" si="1"/>
        <v>0.469167</v>
      </c>
      <c r="K22" s="9">
        <f t="shared" si="1"/>
        <v>0.54978254999999998</v>
      </c>
      <c r="L22" s="9">
        <f t="shared" si="1"/>
        <v>0.52119509999999991</v>
      </c>
    </row>
    <row r="23" spans="1:12" x14ac:dyDescent="0.2">
      <c r="A23" s="5" t="s">
        <v>51</v>
      </c>
      <c r="B23" s="9">
        <f>IF(OR(C8=0,C8=1),C8,"out of range")</f>
        <v>1</v>
      </c>
      <c r="C23" s="9">
        <f t="shared" si="1"/>
        <v>0.86676039999999999</v>
      </c>
      <c r="D23" s="9">
        <f t="shared" si="1"/>
        <v>0.76928569999999996</v>
      </c>
      <c r="E23" s="9">
        <f t="shared" si="1"/>
        <v>0.83485849999999995</v>
      </c>
      <c r="F23" s="9">
        <f t="shared" si="1"/>
        <v>0.71895969999999998</v>
      </c>
      <c r="G23" s="9">
        <f t="shared" si="1"/>
        <v>1.038346</v>
      </c>
      <c r="H23" s="9">
        <f t="shared" si="1"/>
        <v>0.92377600000000004</v>
      </c>
      <c r="I23" s="9">
        <f t="shared" si="1"/>
        <v>0.9045358</v>
      </c>
      <c r="J23" s="9">
        <f t="shared" si="1"/>
        <v>0.74852490000000005</v>
      </c>
      <c r="K23" s="9">
        <f t="shared" si="1"/>
        <v>0.80137210000000003</v>
      </c>
      <c r="L23" s="9">
        <f t="shared" si="1"/>
        <v>0.68469899999999995</v>
      </c>
    </row>
    <row r="24" spans="1:12" x14ac:dyDescent="0.2">
      <c r="A24" s="5" t="s">
        <v>52</v>
      </c>
      <c r="B24" s="9">
        <f>IF(OR(C9=0,C9=1),C9,"out of range")</f>
        <v>0</v>
      </c>
      <c r="C24" s="9">
        <f t="shared" si="1"/>
        <v>0</v>
      </c>
      <c r="D24" s="9">
        <f t="shared" si="1"/>
        <v>0</v>
      </c>
      <c r="E24" s="9">
        <f t="shared" si="1"/>
        <v>0</v>
      </c>
      <c r="F24" s="9">
        <f t="shared" si="1"/>
        <v>0</v>
      </c>
      <c r="G24" s="9">
        <f t="shared" si="1"/>
        <v>0</v>
      </c>
      <c r="H24" s="9">
        <f t="shared" si="1"/>
        <v>0</v>
      </c>
      <c r="I24" s="9">
        <f t="shared" si="1"/>
        <v>0</v>
      </c>
      <c r="J24" s="9">
        <f t="shared" si="1"/>
        <v>0</v>
      </c>
      <c r="K24" s="9">
        <f t="shared" si="1"/>
        <v>0</v>
      </c>
      <c r="L24" s="9">
        <f t="shared" si="1"/>
        <v>0</v>
      </c>
    </row>
    <row r="25" spans="1:12" x14ac:dyDescent="0.2">
      <c r="A25" s="5" t="s">
        <v>53</v>
      </c>
      <c r="B25" s="9">
        <f>IF(AND(C10&gt;=18.5,C10&lt;40),(MIN(C10,30)-25)/5,"out of range")</f>
        <v>1</v>
      </c>
      <c r="C25" s="9">
        <f t="shared" si="1"/>
        <v>0</v>
      </c>
      <c r="D25" s="9">
        <f t="shared" si="1"/>
        <v>0</v>
      </c>
      <c r="E25" s="9">
        <f t="shared" si="1"/>
        <v>0</v>
      </c>
      <c r="F25" s="9">
        <f t="shared" si="1"/>
        <v>0</v>
      </c>
      <c r="G25" s="9">
        <f t="shared" si="1"/>
        <v>-7.2294000000000004E-3</v>
      </c>
      <c r="H25" s="9">
        <f t="shared" si="1"/>
        <v>-4.8584099999999998E-2</v>
      </c>
      <c r="I25" s="9">
        <f t="shared" si="1"/>
        <v>0</v>
      </c>
      <c r="J25" s="9">
        <f t="shared" si="1"/>
        <v>0</v>
      </c>
      <c r="K25" s="9">
        <f t="shared" si="1"/>
        <v>0</v>
      </c>
      <c r="L25" s="9">
        <f t="shared" si="1"/>
        <v>0</v>
      </c>
    </row>
    <row r="26" spans="1:12" x14ac:dyDescent="0.2">
      <c r="A26" s="5" t="s">
        <v>54</v>
      </c>
      <c r="B26" s="9">
        <f>IF(AND(C10&gt;=18.5,C10&lt;40),(MAX(C10,30)-30)/5,"out of range")</f>
        <v>1</v>
      </c>
      <c r="C26" s="9">
        <f t="shared" si="1"/>
        <v>0</v>
      </c>
      <c r="D26" s="9">
        <f t="shared" si="1"/>
        <v>0</v>
      </c>
      <c r="E26" s="9">
        <f t="shared" si="1"/>
        <v>0</v>
      </c>
      <c r="F26" s="9">
        <f t="shared" si="1"/>
        <v>0</v>
      </c>
      <c r="G26" s="9">
        <f t="shared" si="1"/>
        <v>0.2997706</v>
      </c>
      <c r="H26" s="9">
        <f t="shared" si="1"/>
        <v>0.37269289999999999</v>
      </c>
      <c r="I26" s="9">
        <f t="shared" si="1"/>
        <v>0</v>
      </c>
      <c r="J26" s="9">
        <f t="shared" si="1"/>
        <v>0</v>
      </c>
      <c r="K26" s="9">
        <f t="shared" si="1"/>
        <v>0</v>
      </c>
      <c r="L26" s="9">
        <f t="shared" si="1"/>
        <v>0</v>
      </c>
    </row>
    <row r="27" spans="1:12" x14ac:dyDescent="0.2">
      <c r="A27" s="5" t="s">
        <v>55</v>
      </c>
      <c r="B27" s="9">
        <f>IF(AND(C11&gt;=15,C11&lt;=150),(MIN(C11,60)-60)/-15,"out of range")</f>
        <v>0</v>
      </c>
      <c r="C27" s="9">
        <f t="shared" si="1"/>
        <v>0</v>
      </c>
      <c r="D27" s="9">
        <f t="shared" si="1"/>
        <v>0</v>
      </c>
      <c r="E27" s="9">
        <f t="shared" si="1"/>
        <v>0</v>
      </c>
      <c r="F27" s="9">
        <f t="shared" si="1"/>
        <v>0</v>
      </c>
      <c r="G27" s="9">
        <f t="shared" si="1"/>
        <v>0</v>
      </c>
      <c r="H27" s="9">
        <f t="shared" si="1"/>
        <v>0</v>
      </c>
      <c r="I27" s="9">
        <f t="shared" si="1"/>
        <v>0</v>
      </c>
      <c r="J27" s="9">
        <f t="shared" si="1"/>
        <v>0</v>
      </c>
      <c r="K27" s="9">
        <f t="shared" si="1"/>
        <v>0</v>
      </c>
      <c r="L27" s="9">
        <f t="shared" si="1"/>
        <v>0</v>
      </c>
    </row>
    <row r="28" spans="1:12" x14ac:dyDescent="0.2">
      <c r="A28" s="5" t="s">
        <v>56</v>
      </c>
      <c r="B28" s="9">
        <f>IF(AND(C11&gt;=15,C11&lt;=150),(MAX(C11,60)-90)/-15,"out of range")</f>
        <v>0</v>
      </c>
      <c r="C28" s="9">
        <f t="shared" si="1"/>
        <v>0</v>
      </c>
      <c r="D28" s="9">
        <f t="shared" si="1"/>
        <v>0</v>
      </c>
      <c r="E28" s="9">
        <f t="shared" si="1"/>
        <v>0</v>
      </c>
      <c r="F28" s="9">
        <f t="shared" si="1"/>
        <v>0</v>
      </c>
      <c r="G28" s="9">
        <f t="shared" si="1"/>
        <v>0</v>
      </c>
      <c r="H28" s="9">
        <f t="shared" si="1"/>
        <v>0</v>
      </c>
      <c r="I28" s="9">
        <f t="shared" si="1"/>
        <v>0</v>
      </c>
      <c r="J28" s="9">
        <f t="shared" si="1"/>
        <v>0</v>
      </c>
      <c r="K28" s="9">
        <f t="shared" si="1"/>
        <v>0</v>
      </c>
      <c r="L28" s="9">
        <f t="shared" si="1"/>
        <v>0</v>
      </c>
    </row>
    <row r="29" spans="1:12" x14ac:dyDescent="0.2">
      <c r="A29" s="5" t="s">
        <v>57</v>
      </c>
      <c r="B29" s="9">
        <f>IF(OR(C12=0,C12=1),C12,"out of range")</f>
        <v>1</v>
      </c>
      <c r="C29" s="9">
        <f t="shared" si="1"/>
        <v>0.31516719999999998</v>
      </c>
      <c r="D29" s="9">
        <f t="shared" si="1"/>
        <v>0.288879</v>
      </c>
      <c r="E29" s="9">
        <f t="shared" si="1"/>
        <v>0.22653090000000001</v>
      </c>
      <c r="F29" s="9">
        <f t="shared" si="1"/>
        <v>0.20365220000000001</v>
      </c>
      <c r="G29" s="9">
        <f t="shared" si="1"/>
        <v>0.35344419999999999</v>
      </c>
      <c r="H29" s="9">
        <f t="shared" si="1"/>
        <v>0.29809219999999997</v>
      </c>
      <c r="I29" s="9">
        <f t="shared" si="1"/>
        <v>0.2010642</v>
      </c>
      <c r="J29" s="9">
        <f t="shared" si="1"/>
        <v>0.15881990000000001</v>
      </c>
      <c r="K29" s="9">
        <f t="shared" si="1"/>
        <v>0.2494624</v>
      </c>
      <c r="L29" s="9">
        <f t="shared" si="1"/>
        <v>0.232963</v>
      </c>
    </row>
    <row r="30" spans="1:12" x14ac:dyDescent="0.2">
      <c r="A30" s="5" t="s">
        <v>58</v>
      </c>
      <c r="B30" s="9">
        <f>IF(OR(C13=0,C13=1),C13,"out of range")</f>
        <v>0</v>
      </c>
      <c r="C30" s="9">
        <f t="shared" si="1"/>
        <v>0</v>
      </c>
      <c r="D30" s="9">
        <f t="shared" si="1"/>
        <v>0</v>
      </c>
      <c r="E30" s="9">
        <f t="shared" si="1"/>
        <v>0</v>
      </c>
      <c r="F30" s="9">
        <f t="shared" si="1"/>
        <v>0</v>
      </c>
      <c r="G30" s="9">
        <f t="shared" si="1"/>
        <v>0</v>
      </c>
      <c r="H30" s="9">
        <f t="shared" si="1"/>
        <v>0</v>
      </c>
      <c r="I30" s="9">
        <f t="shared" si="1"/>
        <v>0</v>
      </c>
      <c r="J30" s="9">
        <f t="shared" si="1"/>
        <v>0</v>
      </c>
      <c r="K30" s="9">
        <f t="shared" si="1"/>
        <v>0</v>
      </c>
      <c r="L30" s="9">
        <f t="shared" si="1"/>
        <v>0</v>
      </c>
    </row>
    <row r="31" spans="1:12" x14ac:dyDescent="0.2">
      <c r="A31" s="5" t="s">
        <v>59</v>
      </c>
      <c r="B31" s="9">
        <f>B22*B29</f>
        <v>1.5</v>
      </c>
      <c r="C31" s="9">
        <f t="shared" si="1"/>
        <v>-9.9541799999999986E-2</v>
      </c>
      <c r="D31" s="9">
        <f t="shared" si="1"/>
        <v>-7.1388599999999997E-2</v>
      </c>
      <c r="E31" s="9">
        <f t="shared" si="1"/>
        <v>-5.9364299999999995E-2</v>
      </c>
      <c r="F31" s="9">
        <f t="shared" si="1"/>
        <v>-4.8437399999999992E-2</v>
      </c>
      <c r="G31" s="9">
        <f t="shared" si="1"/>
        <v>-0.14722665000000001</v>
      </c>
      <c r="H31" s="9">
        <f t="shared" si="1"/>
        <v>-7.4659649999999994E-2</v>
      </c>
      <c r="I31" s="9">
        <f t="shared" si="1"/>
        <v>-0.13368570000000002</v>
      </c>
      <c r="J31" s="9">
        <f t="shared" si="1"/>
        <v>-8.6677649999999995E-2</v>
      </c>
      <c r="K31" s="9">
        <f t="shared" si="1"/>
        <v>-1.1855850000000001E-2</v>
      </c>
      <c r="L31" s="9">
        <f t="shared" si="1"/>
        <v>1.8138899999999999E-2</v>
      </c>
    </row>
    <row r="32" spans="1:12" x14ac:dyDescent="0.2">
      <c r="A32" s="5" t="s">
        <v>60</v>
      </c>
      <c r="B32" s="9">
        <f>B19*B30</f>
        <v>0</v>
      </c>
      <c r="C32" s="9">
        <f t="shared" si="1"/>
        <v>0</v>
      </c>
      <c r="D32" s="9">
        <f t="shared" si="1"/>
        <v>0</v>
      </c>
      <c r="E32" s="9">
        <f t="shared" si="1"/>
        <v>0</v>
      </c>
      <c r="F32" s="9">
        <f t="shared" si="1"/>
        <v>0</v>
      </c>
      <c r="G32" s="9">
        <f t="shared" si="1"/>
        <v>0</v>
      </c>
      <c r="H32" s="9">
        <f t="shared" si="1"/>
        <v>0</v>
      </c>
      <c r="I32" s="9">
        <f t="shared" si="1"/>
        <v>0</v>
      </c>
      <c r="J32" s="9">
        <f t="shared" si="1"/>
        <v>0</v>
      </c>
      <c r="K32" s="9">
        <f t="shared" si="1"/>
        <v>0</v>
      </c>
      <c r="L32" s="9">
        <f t="shared" si="1"/>
        <v>0</v>
      </c>
    </row>
    <row r="33" spans="1:12" x14ac:dyDescent="0.2">
      <c r="A33" s="5" t="s">
        <v>61</v>
      </c>
      <c r="B33" s="9">
        <f>B18*B19</f>
        <v>-0.2541500000000001</v>
      </c>
      <c r="C33" s="9">
        <f t="shared" si="1"/>
        <v>2.0833056725000007E-2</v>
      </c>
      <c r="D33" s="9">
        <f t="shared" si="1"/>
        <v>1.3161767710000005E-2</v>
      </c>
      <c r="E33" s="9">
        <f t="shared" si="1"/>
        <v>1.4431628185000005E-2</v>
      </c>
      <c r="F33" s="9">
        <f t="shared" si="1"/>
        <v>7.6246270750000029E-3</v>
      </c>
      <c r="G33" s="9">
        <f t="shared" si="1"/>
        <v>0</v>
      </c>
      <c r="H33" s="9">
        <f t="shared" si="1"/>
        <v>0</v>
      </c>
      <c r="I33" s="9">
        <f t="shared" si="1"/>
        <v>1.7364951240000006E-2</v>
      </c>
      <c r="J33" s="9">
        <f t="shared" si="1"/>
        <v>1.3161716880000006E-2</v>
      </c>
      <c r="K33" s="9">
        <f t="shared" si="1"/>
        <v>1.0400885430000005E-2</v>
      </c>
      <c r="L33" s="9">
        <f t="shared" si="1"/>
        <v>-3.6071001200000015E-3</v>
      </c>
    </row>
    <row r="34" spans="1:12" x14ac:dyDescent="0.2">
      <c r="A34" s="5" t="s">
        <v>62</v>
      </c>
      <c r="B34" s="9">
        <f>B18*B20</f>
        <v>0.22716666666666682</v>
      </c>
      <c r="C34" s="9">
        <f t="shared" ref="C34:L40" si="2">$B34*C63</f>
        <v>6.9687691166666716E-3</v>
      </c>
      <c r="D34" s="9">
        <f t="shared" si="2"/>
        <v>4.3427224500000028E-3</v>
      </c>
      <c r="E34" s="9">
        <f t="shared" si="2"/>
        <v>7.3986366000000046E-3</v>
      </c>
      <c r="F34" s="9">
        <f t="shared" si="2"/>
        <v>5.2872360166666696E-3</v>
      </c>
      <c r="G34" s="9">
        <f t="shared" si="2"/>
        <v>0</v>
      </c>
      <c r="H34" s="9">
        <f t="shared" si="2"/>
        <v>0</v>
      </c>
      <c r="I34" s="9">
        <f t="shared" si="2"/>
        <v>1.1012017750000007E-2</v>
      </c>
      <c r="J34" s="9">
        <f t="shared" si="2"/>
        <v>1.1109199650000007E-2</v>
      </c>
      <c r="K34" s="9">
        <f t="shared" si="2"/>
        <v>3.8604703333333357E-3</v>
      </c>
      <c r="L34" s="9">
        <f t="shared" si="2"/>
        <v>-2.5384739166666686E-3</v>
      </c>
    </row>
    <row r="35" spans="1:12" x14ac:dyDescent="0.2">
      <c r="A35" s="5" t="s">
        <v>63</v>
      </c>
      <c r="B35" s="9">
        <f>B18*B22</f>
        <v>-0.75</v>
      </c>
      <c r="C35" s="9">
        <f t="shared" si="2"/>
        <v>7.09761E-2</v>
      </c>
      <c r="D35" s="9">
        <f t="shared" si="2"/>
        <v>7.8710775000000011E-2</v>
      </c>
      <c r="E35" s="9">
        <f t="shared" si="2"/>
        <v>7.7698875000000001E-2</v>
      </c>
      <c r="F35" s="9">
        <f t="shared" si="2"/>
        <v>6.95268E-2</v>
      </c>
      <c r="G35" s="9">
        <f t="shared" si="2"/>
        <v>7.0999725E-2</v>
      </c>
      <c r="H35" s="9">
        <f t="shared" si="2"/>
        <v>9.6690075000000014E-2</v>
      </c>
      <c r="I35" s="9">
        <f t="shared" si="2"/>
        <v>6.7356449999999998E-2</v>
      </c>
      <c r="J35" s="9">
        <f t="shared" si="2"/>
        <v>6.3780299999999998E-2</v>
      </c>
      <c r="K35" s="9">
        <f t="shared" si="2"/>
        <v>8.9340975000000003E-2</v>
      </c>
      <c r="L35" s="9">
        <f t="shared" si="2"/>
        <v>8.6654325000000004E-2</v>
      </c>
    </row>
    <row r="36" spans="1:12" x14ac:dyDescent="0.2">
      <c r="A36" s="5" t="s">
        <v>64</v>
      </c>
      <c r="B36" s="9">
        <f>B18*B23</f>
        <v>-0.5</v>
      </c>
      <c r="C36" s="9">
        <f t="shared" si="2"/>
        <v>0.13528499999999999</v>
      </c>
      <c r="D36" s="9">
        <f t="shared" si="2"/>
        <v>0.1125974</v>
      </c>
      <c r="E36" s="9">
        <f t="shared" si="2"/>
        <v>0.1208771</v>
      </c>
      <c r="F36" s="9">
        <f t="shared" si="2"/>
        <v>0.10092625</v>
      </c>
      <c r="G36" s="9">
        <f t="shared" si="2"/>
        <v>0.17905204999999999</v>
      </c>
      <c r="H36" s="9">
        <f t="shared" si="2"/>
        <v>0.15204619999999999</v>
      </c>
      <c r="I36" s="9">
        <f t="shared" si="2"/>
        <v>0.12845205000000001</v>
      </c>
      <c r="J36" s="9">
        <f t="shared" si="2"/>
        <v>0.1053776</v>
      </c>
      <c r="K36" s="9">
        <f t="shared" si="2"/>
        <v>0.12402745</v>
      </c>
      <c r="L36" s="9">
        <f t="shared" si="2"/>
        <v>0.10618714999999999</v>
      </c>
    </row>
    <row r="37" spans="1:12" x14ac:dyDescent="0.2">
      <c r="A37" s="5" t="s">
        <v>65</v>
      </c>
      <c r="B37" s="9">
        <f>B18*B24</f>
        <v>0</v>
      </c>
      <c r="C37" s="9">
        <f t="shared" si="2"/>
        <v>0</v>
      </c>
      <c r="D37" s="9">
        <f t="shared" si="2"/>
        <v>0</v>
      </c>
      <c r="E37" s="9">
        <f t="shared" si="2"/>
        <v>0</v>
      </c>
      <c r="F37" s="9">
        <f t="shared" si="2"/>
        <v>0</v>
      </c>
      <c r="G37" s="9">
        <f t="shared" si="2"/>
        <v>0</v>
      </c>
      <c r="H37" s="9">
        <f t="shared" si="2"/>
        <v>0</v>
      </c>
      <c r="I37" s="9">
        <f t="shared" si="2"/>
        <v>0</v>
      </c>
      <c r="J37" s="9">
        <f t="shared" si="2"/>
        <v>0</v>
      </c>
      <c r="K37" s="9">
        <f t="shared" si="2"/>
        <v>0</v>
      </c>
      <c r="L37" s="9">
        <f t="shared" si="2"/>
        <v>0</v>
      </c>
    </row>
    <row r="38" spans="1:12" x14ac:dyDescent="0.2">
      <c r="A38" s="5" t="s">
        <v>66</v>
      </c>
      <c r="B38" s="9">
        <f>B18*B26</f>
        <v>-0.5</v>
      </c>
      <c r="C38" s="9">
        <f t="shared" si="2"/>
        <v>0</v>
      </c>
      <c r="D38" s="9">
        <f t="shared" si="2"/>
        <v>0</v>
      </c>
      <c r="E38" s="9">
        <f t="shared" si="2"/>
        <v>0</v>
      </c>
      <c r="F38" s="9">
        <f t="shared" si="2"/>
        <v>0</v>
      </c>
      <c r="G38" s="9">
        <f t="shared" si="2"/>
        <v>1.939E-3</v>
      </c>
      <c r="H38" s="9">
        <f t="shared" si="2"/>
        <v>-3.4063000000000001E-3</v>
      </c>
      <c r="I38" s="9">
        <f t="shared" si="2"/>
        <v>0</v>
      </c>
      <c r="J38" s="9">
        <f t="shared" si="2"/>
        <v>0</v>
      </c>
      <c r="K38" s="9">
        <f t="shared" si="2"/>
        <v>0</v>
      </c>
      <c r="L38" s="9">
        <f t="shared" si="2"/>
        <v>0</v>
      </c>
    </row>
    <row r="39" spans="1:12" x14ac:dyDescent="0.2">
      <c r="A39" s="5" t="s">
        <v>67</v>
      </c>
      <c r="B39" s="9">
        <f>B18*B27</f>
        <v>0</v>
      </c>
      <c r="C39" s="9">
        <f t="shared" si="2"/>
        <v>0</v>
      </c>
      <c r="D39" s="9">
        <f t="shared" si="2"/>
        <v>0</v>
      </c>
      <c r="E39" s="9">
        <f t="shared" si="2"/>
        <v>0</v>
      </c>
      <c r="F39" s="9">
        <f t="shared" si="2"/>
        <v>0</v>
      </c>
      <c r="G39" s="9">
        <f t="shared" si="2"/>
        <v>0</v>
      </c>
      <c r="H39" s="9">
        <f t="shared" si="2"/>
        <v>0</v>
      </c>
      <c r="I39" s="9">
        <f t="shared" si="2"/>
        <v>0</v>
      </c>
      <c r="J39" s="9">
        <f t="shared" si="2"/>
        <v>0</v>
      </c>
      <c r="K39" s="9">
        <f t="shared" si="2"/>
        <v>0</v>
      </c>
      <c r="L39" s="9">
        <f t="shared" si="2"/>
        <v>0</v>
      </c>
    </row>
    <row r="40" spans="1:12" x14ac:dyDescent="0.2">
      <c r="A40" s="5" t="s">
        <v>68</v>
      </c>
      <c r="B40" s="9">
        <v>1</v>
      </c>
      <c r="C40" s="9">
        <f t="shared" si="2"/>
        <v>-3.307728</v>
      </c>
      <c r="D40" s="9">
        <f t="shared" si="2"/>
        <v>-3.0311680000000001</v>
      </c>
      <c r="E40" s="9">
        <f t="shared" si="2"/>
        <v>-3.8199749999999999</v>
      </c>
      <c r="F40" s="9">
        <f t="shared" si="2"/>
        <v>-3.5006550000000001</v>
      </c>
      <c r="G40" s="9">
        <f t="shared" si="2"/>
        <v>-4.3104089999999999</v>
      </c>
      <c r="H40" s="9">
        <f t="shared" si="2"/>
        <v>-3.9463910000000002</v>
      </c>
      <c r="I40" s="9">
        <f t="shared" si="2"/>
        <v>-4.6087509999999998</v>
      </c>
      <c r="J40" s="9">
        <f t="shared" si="2"/>
        <v>-4.1567530000000001</v>
      </c>
      <c r="K40" s="9">
        <f t="shared" si="2"/>
        <v>-4.4091990000000001</v>
      </c>
      <c r="L40" s="9">
        <f t="shared" si="2"/>
        <v>-4.2088099999999997</v>
      </c>
    </row>
    <row r="41" spans="1:12" ht="14.5" customHeight="1" x14ac:dyDescent="0.2">
      <c r="A41" s="64" t="s">
        <v>69</v>
      </c>
      <c r="B41" s="81" t="s">
        <v>70</v>
      </c>
      <c r="C41" s="9">
        <f t="shared" ref="C41:L41" si="3">SUM(C18:C40)</f>
        <v>-1.7596084060883332</v>
      </c>
      <c r="D41" s="9">
        <f t="shared" si="3"/>
        <v>-1.6348242286533332</v>
      </c>
      <c r="E41" s="9">
        <f t="shared" si="3"/>
        <v>-2.2900437426049995</v>
      </c>
      <c r="F41" s="9">
        <f t="shared" si="3"/>
        <v>-2.1758128647850001</v>
      </c>
      <c r="G41" s="9">
        <f t="shared" si="3"/>
        <v>-2.4347494750000003</v>
      </c>
      <c r="H41" s="9">
        <f t="shared" si="3"/>
        <v>-2.1332066250000006</v>
      </c>
      <c r="I41" s="9">
        <f t="shared" si="3"/>
        <v>-3.0762725753066666</v>
      </c>
      <c r="J41" s="9">
        <f t="shared" si="3"/>
        <v>-2.8312082242666667</v>
      </c>
      <c r="K41" s="9">
        <f t="shared" si="3"/>
        <v>-2.8631059487666666</v>
      </c>
      <c r="L41" s="9">
        <f t="shared" si="3"/>
        <v>-2.901677582963333</v>
      </c>
    </row>
    <row r="42" spans="1:12" x14ac:dyDescent="0.2">
      <c r="A42" s="82" t="s">
        <v>71</v>
      </c>
      <c r="B42" s="81"/>
      <c r="C42" s="83">
        <f>EXP(C41)/(1+EXP(C41))</f>
        <v>0.14683939095644824</v>
      </c>
      <c r="D42" s="83">
        <f t="shared" ref="D42:L42" si="4">EXP(D41)/(1+EXP(D41))</f>
        <v>0.16317056158151638</v>
      </c>
      <c r="E42" s="83">
        <f t="shared" si="4"/>
        <v>9.1950897536328721E-2</v>
      </c>
      <c r="F42" s="83">
        <f t="shared" si="4"/>
        <v>0.10194362642179755</v>
      </c>
      <c r="G42" s="83">
        <f t="shared" si="4"/>
        <v>8.0560967779142567E-2</v>
      </c>
      <c r="H42" s="83">
        <f t="shared" si="4"/>
        <v>0.10591096013400046</v>
      </c>
      <c r="I42" s="83">
        <f t="shared" si="4"/>
        <v>4.4096667638944001E-2</v>
      </c>
      <c r="J42" s="83">
        <f t="shared" si="4"/>
        <v>5.5660856263050118E-2</v>
      </c>
      <c r="K42" s="83">
        <f t="shared" si="4"/>
        <v>5.4007794606351675E-2</v>
      </c>
      <c r="L42" s="83">
        <f t="shared" si="4"/>
        <v>5.2070696442453601E-2</v>
      </c>
    </row>
    <row r="43" spans="1:12" x14ac:dyDescent="0.2">
      <c r="A43" s="82"/>
      <c r="B43" s="84"/>
      <c r="C43" s="83"/>
      <c r="D43" s="83"/>
      <c r="E43" s="83"/>
      <c r="F43" s="83"/>
      <c r="G43" s="83"/>
      <c r="H43" s="83"/>
      <c r="I43" s="83"/>
      <c r="J43" s="83"/>
      <c r="K43" s="83"/>
      <c r="L43" s="83"/>
    </row>
    <row r="44" spans="1:12" x14ac:dyDescent="0.2">
      <c r="A44" s="15" t="s">
        <v>72</v>
      </c>
      <c r="B44" s="84"/>
      <c r="C44" s="83"/>
      <c r="D44" s="83"/>
      <c r="E44" s="83"/>
      <c r="F44" s="83"/>
      <c r="G44" s="83"/>
      <c r="H44" s="83"/>
      <c r="I44" s="83"/>
      <c r="J44" s="83"/>
      <c r="K44" s="83"/>
      <c r="L44" s="83"/>
    </row>
    <row r="45" spans="1:12" x14ac:dyDescent="0.2">
      <c r="A45" s="80" t="s">
        <v>73</v>
      </c>
      <c r="C45" s="69" t="s">
        <v>23</v>
      </c>
      <c r="D45" s="69"/>
      <c r="E45" s="69" t="s">
        <v>24</v>
      </c>
      <c r="F45" s="69"/>
      <c r="G45" s="69" t="s">
        <v>25</v>
      </c>
      <c r="H45" s="69"/>
      <c r="I45" s="69" t="s">
        <v>26</v>
      </c>
      <c r="J45" s="69"/>
      <c r="K45" s="69" t="s">
        <v>27</v>
      </c>
      <c r="L45" s="69"/>
    </row>
    <row r="46" spans="1:12" x14ac:dyDescent="0.2">
      <c r="A46" s="80"/>
      <c r="B46" s="64"/>
      <c r="C46" s="72" t="s">
        <v>28</v>
      </c>
      <c r="D46" s="72" t="s">
        <v>29</v>
      </c>
      <c r="E46" s="72" t="s">
        <v>28</v>
      </c>
      <c r="F46" s="72" t="s">
        <v>29</v>
      </c>
      <c r="G46" s="72" t="s">
        <v>28</v>
      </c>
      <c r="H46" s="72" t="s">
        <v>29</v>
      </c>
      <c r="I46" s="72" t="s">
        <v>28</v>
      </c>
      <c r="J46" s="72" t="s">
        <v>29</v>
      </c>
      <c r="K46" s="72" t="s">
        <v>28</v>
      </c>
      <c r="L46" s="72" t="s">
        <v>29</v>
      </c>
    </row>
    <row r="47" spans="1:12" x14ac:dyDescent="0.2">
      <c r="A47" s="64" t="s">
        <v>74</v>
      </c>
      <c r="C47" s="85">
        <v>0.79393290000000005</v>
      </c>
      <c r="D47" s="85">
        <v>0.7688528</v>
      </c>
      <c r="E47" s="85">
        <v>0.71988300000000005</v>
      </c>
      <c r="F47" s="85">
        <v>0.70998470000000002</v>
      </c>
      <c r="G47" s="85">
        <v>0.8998235</v>
      </c>
      <c r="H47" s="85">
        <v>0.89726419999999996</v>
      </c>
      <c r="I47" s="85">
        <v>0.75871460000000002</v>
      </c>
      <c r="J47" s="85">
        <v>0.74232830000000005</v>
      </c>
      <c r="K47" s="85">
        <v>0.69078490000000004</v>
      </c>
      <c r="L47" s="85">
        <v>0.72251299999999996</v>
      </c>
    </row>
    <row r="48" spans="1:12" x14ac:dyDescent="0.2">
      <c r="A48" s="64" t="s">
        <v>75</v>
      </c>
      <c r="C48" s="85">
        <v>3.05239E-2</v>
      </c>
      <c r="D48" s="85">
        <v>7.36174E-2</v>
      </c>
      <c r="E48" s="85">
        <v>0.1176967</v>
      </c>
      <c r="F48" s="85">
        <v>0.16586629999999999</v>
      </c>
      <c r="G48" s="85"/>
      <c r="H48" s="85"/>
      <c r="I48" s="85">
        <v>0.1810949</v>
      </c>
      <c r="J48" s="85">
        <v>0.25721090000000002</v>
      </c>
      <c r="K48" s="85">
        <v>5.34279E-2</v>
      </c>
      <c r="L48" s="85">
        <v>2.6334799999999998E-2</v>
      </c>
    </row>
    <row r="49" spans="1:12" x14ac:dyDescent="0.2">
      <c r="A49" s="64" t="s">
        <v>76</v>
      </c>
      <c r="C49" s="85">
        <v>-0.16068569999999999</v>
      </c>
      <c r="D49" s="85">
        <v>-9.5443100000000003E-2</v>
      </c>
      <c r="E49" s="85">
        <v>-0.15118500000000001</v>
      </c>
      <c r="F49" s="85">
        <v>-0.1144285</v>
      </c>
      <c r="G49" s="85"/>
      <c r="H49" s="85"/>
      <c r="I49" s="85">
        <v>-0.20145070000000001</v>
      </c>
      <c r="J49" s="85">
        <v>-0.18203739999999999</v>
      </c>
      <c r="K49" s="85">
        <v>-0.1055109</v>
      </c>
      <c r="L49" s="85">
        <v>-2.4895899999999999E-2</v>
      </c>
    </row>
    <row r="50" spans="1:12" x14ac:dyDescent="0.2">
      <c r="A50" s="64" t="s">
        <v>77</v>
      </c>
      <c r="C50" s="85">
        <v>-0.23940030000000001</v>
      </c>
      <c r="D50" s="85">
        <v>-0.43473450000000002</v>
      </c>
      <c r="E50" s="85">
        <v>-8.3535799999999993E-2</v>
      </c>
      <c r="F50" s="85">
        <v>-0.28372120000000001</v>
      </c>
      <c r="G50" s="85">
        <v>-0.45597710000000002</v>
      </c>
      <c r="H50" s="85">
        <v>-0.68114660000000005</v>
      </c>
      <c r="I50" s="85">
        <v>-8.8182700000000003E-2</v>
      </c>
      <c r="J50" s="85">
        <v>-0.3174515</v>
      </c>
      <c r="K50" s="85">
        <v>-0.113078</v>
      </c>
      <c r="L50" s="85">
        <v>-0.26810400000000001</v>
      </c>
    </row>
    <row r="51" spans="1:12" x14ac:dyDescent="0.2">
      <c r="A51" s="64" t="s">
        <v>78</v>
      </c>
      <c r="C51" s="85">
        <v>0.36007810000000001</v>
      </c>
      <c r="D51" s="85">
        <v>0.3362658</v>
      </c>
      <c r="E51" s="85">
        <v>0.35928520000000003</v>
      </c>
      <c r="F51" s="85">
        <v>0.3239977</v>
      </c>
      <c r="G51" s="85">
        <v>0.35765049999999998</v>
      </c>
      <c r="H51" s="85">
        <v>0.36344609999999999</v>
      </c>
      <c r="I51" s="85">
        <v>0.35477310000000001</v>
      </c>
      <c r="J51" s="85">
        <v>0.312778</v>
      </c>
      <c r="K51" s="85">
        <v>0.36652170000000001</v>
      </c>
      <c r="L51" s="85">
        <v>0.34746339999999998</v>
      </c>
    </row>
    <row r="52" spans="1:12" x14ac:dyDescent="0.2">
      <c r="A52" s="64" t="s">
        <v>51</v>
      </c>
      <c r="C52" s="85">
        <v>0.86676039999999999</v>
      </c>
      <c r="D52" s="85">
        <v>0.76928569999999996</v>
      </c>
      <c r="E52" s="85">
        <v>0.83485849999999995</v>
      </c>
      <c r="F52" s="85">
        <v>0.71895969999999998</v>
      </c>
      <c r="G52" s="85">
        <v>1.038346</v>
      </c>
      <c r="H52" s="85">
        <v>0.92377600000000004</v>
      </c>
      <c r="I52" s="85">
        <v>0.9045358</v>
      </c>
      <c r="J52" s="85">
        <v>0.74852490000000005</v>
      </c>
      <c r="K52" s="85">
        <v>0.80137210000000003</v>
      </c>
      <c r="L52" s="85">
        <v>0.68469899999999995</v>
      </c>
    </row>
    <row r="53" spans="1:12" ht="14.5" customHeight="1" x14ac:dyDescent="0.2">
      <c r="A53" s="64" t="s">
        <v>79</v>
      </c>
      <c r="C53" s="85">
        <v>0.53607389999999999</v>
      </c>
      <c r="D53" s="85">
        <v>0.4386871</v>
      </c>
      <c r="E53" s="85">
        <v>0.48310779999999998</v>
      </c>
      <c r="F53" s="85">
        <v>0.39569729999999997</v>
      </c>
      <c r="G53" s="85">
        <v>0.58391599999999999</v>
      </c>
      <c r="H53" s="85">
        <v>0.50237359999999998</v>
      </c>
      <c r="I53" s="85">
        <v>0.54109169999999995</v>
      </c>
      <c r="J53" s="85">
        <v>0.39120470000000002</v>
      </c>
      <c r="K53" s="85">
        <v>0.41870390000000002</v>
      </c>
      <c r="L53" s="85">
        <v>0.38748440000000001</v>
      </c>
    </row>
    <row r="54" spans="1:12" ht="14.5" customHeight="1" x14ac:dyDescent="0.2">
      <c r="A54" s="64" t="s">
        <v>80</v>
      </c>
      <c r="C54" s="85"/>
      <c r="D54" s="85"/>
      <c r="E54" s="85"/>
      <c r="F54" s="85"/>
      <c r="G54" s="85">
        <v>-7.2294000000000004E-3</v>
      </c>
      <c r="H54" s="85">
        <v>-4.8584099999999998E-2</v>
      </c>
      <c r="I54" s="85"/>
      <c r="J54" s="85"/>
      <c r="K54" s="85"/>
      <c r="L54" s="85"/>
    </row>
    <row r="55" spans="1:12" ht="14.5" customHeight="1" x14ac:dyDescent="0.2">
      <c r="A55" s="64" t="s">
        <v>81</v>
      </c>
      <c r="C55" s="85"/>
      <c r="D55" s="85"/>
      <c r="E55" s="85"/>
      <c r="F55" s="85"/>
      <c r="G55" s="85">
        <v>0.2997706</v>
      </c>
      <c r="H55" s="85">
        <v>0.37269289999999999</v>
      </c>
      <c r="I55" s="85"/>
      <c r="J55" s="85"/>
      <c r="K55" s="85"/>
      <c r="L55" s="85"/>
    </row>
    <row r="56" spans="1:12" ht="14.5" customHeight="1" x14ac:dyDescent="0.2">
      <c r="A56" s="64" t="s">
        <v>82</v>
      </c>
      <c r="C56" s="85">
        <v>0.60459169999999995</v>
      </c>
      <c r="D56" s="85">
        <v>0.53789790000000004</v>
      </c>
      <c r="E56" s="85">
        <v>0.4864619</v>
      </c>
      <c r="F56" s="85">
        <v>0.36900749999999999</v>
      </c>
      <c r="G56" s="85">
        <v>0.74516380000000004</v>
      </c>
      <c r="H56" s="85">
        <v>0.69269170000000002</v>
      </c>
      <c r="I56" s="85">
        <v>0.51987249999999996</v>
      </c>
      <c r="J56" s="85">
        <v>0.37648700000000002</v>
      </c>
      <c r="K56" s="85">
        <v>0.45397670000000001</v>
      </c>
      <c r="L56" s="85">
        <v>0.38778269999999998</v>
      </c>
    </row>
    <row r="57" spans="1:12" x14ac:dyDescent="0.2">
      <c r="A57" s="64" t="s">
        <v>83</v>
      </c>
      <c r="C57" s="85">
        <v>4.3376900000000003E-2</v>
      </c>
      <c r="D57" s="85">
        <v>1.6482699999999999E-2</v>
      </c>
      <c r="E57" s="85">
        <v>3.9777899999999998E-2</v>
      </c>
      <c r="F57" s="85">
        <v>2.0361899999999999E-2</v>
      </c>
      <c r="G57" s="85">
        <v>5.57087E-2</v>
      </c>
      <c r="H57" s="85">
        <v>2.5182699999999999E-2</v>
      </c>
      <c r="I57" s="85">
        <v>3.2593499999999997E-2</v>
      </c>
      <c r="J57" s="85">
        <v>1.9368699999999999E-2</v>
      </c>
      <c r="K57" s="85">
        <v>5.1508699999999998E-2</v>
      </c>
      <c r="L57" s="85">
        <v>2.0196499999999999E-2</v>
      </c>
    </row>
    <row r="58" spans="1:12" x14ac:dyDescent="0.2">
      <c r="A58" s="64" t="s">
        <v>84</v>
      </c>
      <c r="C58" s="85">
        <v>0.31516719999999998</v>
      </c>
      <c r="D58" s="85">
        <v>0.288879</v>
      </c>
      <c r="E58" s="85">
        <v>0.22653090000000001</v>
      </c>
      <c r="F58" s="85">
        <v>0.20365220000000001</v>
      </c>
      <c r="G58" s="85">
        <v>0.35344419999999999</v>
      </c>
      <c r="H58" s="85">
        <v>0.29809219999999997</v>
      </c>
      <c r="I58" s="85">
        <v>0.2010642</v>
      </c>
      <c r="J58" s="85">
        <v>0.15881990000000001</v>
      </c>
      <c r="K58" s="85">
        <v>0.2494624</v>
      </c>
      <c r="L58" s="85">
        <v>0.232963</v>
      </c>
    </row>
    <row r="59" spans="1:12" ht="14.5" customHeight="1" x14ac:dyDescent="0.2">
      <c r="A59" s="64" t="s">
        <v>85</v>
      </c>
      <c r="C59" s="85">
        <v>-0.14776549999999999</v>
      </c>
      <c r="D59" s="85">
        <v>-0.13373489999999999</v>
      </c>
      <c r="E59" s="85">
        <v>-5.9237400000000003E-2</v>
      </c>
      <c r="F59" s="85">
        <v>-8.6558099999999999E-2</v>
      </c>
      <c r="G59" s="85"/>
      <c r="H59" s="85"/>
      <c r="I59" s="85">
        <v>-3.6194999999999998E-2</v>
      </c>
      <c r="J59" s="85">
        <v>-4.9455499999999999E-2</v>
      </c>
      <c r="K59" s="85">
        <v>-7.9882900000000007E-2</v>
      </c>
      <c r="L59" s="85">
        <v>-0.1178935</v>
      </c>
    </row>
    <row r="60" spans="1:12" ht="14.5" customHeight="1" x14ac:dyDescent="0.2">
      <c r="A60" s="64" t="s">
        <v>86</v>
      </c>
      <c r="C60" s="85">
        <v>-6.6361199999999995E-2</v>
      </c>
      <c r="D60" s="85">
        <v>-4.75924E-2</v>
      </c>
      <c r="E60" s="85">
        <v>-3.9576199999999999E-2</v>
      </c>
      <c r="F60" s="85">
        <v>-3.2291599999999997E-2</v>
      </c>
      <c r="G60" s="85">
        <v>-9.8151100000000005E-2</v>
      </c>
      <c r="H60" s="85">
        <v>-4.9773100000000001E-2</v>
      </c>
      <c r="I60" s="85">
        <v>-8.9123800000000003E-2</v>
      </c>
      <c r="J60" s="85">
        <v>-5.7785099999999999E-2</v>
      </c>
      <c r="K60" s="85">
        <v>-7.9039000000000002E-3</v>
      </c>
      <c r="L60" s="85">
        <v>1.20926E-2</v>
      </c>
    </row>
    <row r="61" spans="1:12" x14ac:dyDescent="0.2">
      <c r="A61" s="64" t="s">
        <v>87</v>
      </c>
      <c r="C61" s="85">
        <v>0.1197879</v>
      </c>
      <c r="D61" s="85">
        <v>0.15027299999999999</v>
      </c>
      <c r="E61" s="85">
        <v>8.4442299999999998E-2</v>
      </c>
      <c r="F61" s="85">
        <v>0.114563</v>
      </c>
      <c r="G61" s="85"/>
      <c r="H61" s="85"/>
      <c r="I61" s="85">
        <v>7.5071600000000002E-2</v>
      </c>
      <c r="J61" s="85">
        <v>8.0976500000000007E-2</v>
      </c>
      <c r="K61" s="85">
        <v>8.3310099999999998E-2</v>
      </c>
      <c r="L61" s="85">
        <v>0.15573899999999999</v>
      </c>
    </row>
    <row r="62" spans="1:12" x14ac:dyDescent="0.2">
      <c r="A62" s="64" t="s">
        <v>88</v>
      </c>
      <c r="C62" s="85">
        <v>-8.1971500000000003E-2</v>
      </c>
      <c r="D62" s="85">
        <v>-5.1787399999999997E-2</v>
      </c>
      <c r="E62" s="85">
        <v>-5.6783899999999998E-2</v>
      </c>
      <c r="F62" s="85">
        <v>-3.0000499999999999E-2</v>
      </c>
      <c r="I62" s="85">
        <v>-6.83256E-2</v>
      </c>
      <c r="J62" s="85">
        <v>-5.1787199999999999E-2</v>
      </c>
      <c r="K62" s="85">
        <v>-4.0924200000000001E-2</v>
      </c>
      <c r="L62" s="85">
        <v>1.41928E-2</v>
      </c>
    </row>
    <row r="63" spans="1:12" x14ac:dyDescent="0.2">
      <c r="A63" s="64" t="s">
        <v>89</v>
      </c>
      <c r="C63" s="85">
        <v>3.06769E-2</v>
      </c>
      <c r="D63" s="85">
        <v>1.9116899999999999E-2</v>
      </c>
      <c r="E63" s="85">
        <v>3.25692E-2</v>
      </c>
      <c r="F63" s="85">
        <v>2.3274699999999999E-2</v>
      </c>
      <c r="G63" s="85"/>
      <c r="H63" s="85"/>
      <c r="I63" s="85">
        <v>4.8475499999999998E-2</v>
      </c>
      <c r="J63" s="85">
        <v>4.8903299999999997E-2</v>
      </c>
      <c r="K63" s="85">
        <v>1.6993999999999999E-2</v>
      </c>
      <c r="L63" s="85">
        <v>-1.11745E-2</v>
      </c>
    </row>
    <row r="64" spans="1:12" x14ac:dyDescent="0.2">
      <c r="A64" s="64" t="s">
        <v>90</v>
      </c>
      <c r="C64" s="85">
        <v>-9.4634800000000005E-2</v>
      </c>
      <c r="D64" s="85">
        <v>-0.1049477</v>
      </c>
      <c r="E64" s="85">
        <v>-0.1035985</v>
      </c>
      <c r="F64" s="85">
        <v>-9.2702400000000004E-2</v>
      </c>
      <c r="G64" s="85">
        <v>-9.4666299999999995E-2</v>
      </c>
      <c r="H64" s="85">
        <v>-0.12892010000000001</v>
      </c>
      <c r="I64" s="85">
        <v>-8.9808600000000002E-2</v>
      </c>
      <c r="J64" s="85">
        <v>-8.5040400000000002E-2</v>
      </c>
      <c r="K64" s="85">
        <v>-0.1191213</v>
      </c>
      <c r="L64" s="85">
        <v>-0.11553910000000001</v>
      </c>
    </row>
    <row r="65" spans="1:14" x14ac:dyDescent="0.2">
      <c r="A65" s="64" t="s">
        <v>91</v>
      </c>
      <c r="C65" s="85">
        <v>-0.27056999999999998</v>
      </c>
      <c r="D65" s="85">
        <v>-0.2251948</v>
      </c>
      <c r="E65" s="85">
        <v>-0.2417542</v>
      </c>
      <c r="F65" s="85">
        <v>-0.20185249999999999</v>
      </c>
      <c r="G65" s="85">
        <v>-0.35810409999999998</v>
      </c>
      <c r="H65" s="85">
        <v>-0.30409239999999998</v>
      </c>
      <c r="I65" s="85">
        <v>-0.25690410000000002</v>
      </c>
      <c r="J65" s="85">
        <v>-0.2107552</v>
      </c>
      <c r="K65" s="85">
        <v>-0.24805489999999999</v>
      </c>
      <c r="L65" s="85">
        <v>-0.21237429999999999</v>
      </c>
    </row>
    <row r="66" spans="1:14" x14ac:dyDescent="0.2">
      <c r="A66" s="64" t="s">
        <v>92</v>
      </c>
      <c r="C66" s="85">
        <v>-7.8714999999999993E-2</v>
      </c>
      <c r="D66" s="85">
        <v>-8.9506699999999995E-2</v>
      </c>
      <c r="E66" s="85">
        <v>-7.9114199999999996E-2</v>
      </c>
      <c r="F66" s="85">
        <v>-9.7052700000000006E-2</v>
      </c>
      <c r="G66" s="85">
        <v>-0.1159453</v>
      </c>
      <c r="H66" s="85">
        <v>-0.14016880000000001</v>
      </c>
      <c r="I66" s="85">
        <v>-7.86607E-2</v>
      </c>
      <c r="J66" s="85">
        <v>-0.1206397</v>
      </c>
      <c r="K66" s="85">
        <v>-9.9806300000000001E-2</v>
      </c>
      <c r="L66" s="85">
        <v>-8.2413299999999995E-2</v>
      </c>
    </row>
    <row r="67" spans="1:14" x14ac:dyDescent="0.2">
      <c r="A67" s="64" t="s">
        <v>93</v>
      </c>
      <c r="E67" s="85"/>
      <c r="F67" s="85"/>
      <c r="G67" s="85">
        <v>-3.8779999999999999E-3</v>
      </c>
      <c r="H67" s="85">
        <v>6.8126000000000003E-3</v>
      </c>
      <c r="I67" s="85"/>
      <c r="J67" s="85"/>
      <c r="K67" s="85"/>
      <c r="L67" s="85"/>
    </row>
    <row r="68" spans="1:14" x14ac:dyDescent="0.2">
      <c r="A68" s="64" t="s">
        <v>94</v>
      </c>
      <c r="C68" s="85">
        <v>-0.1637806</v>
      </c>
      <c r="D68" s="85">
        <v>-0.15437020000000001</v>
      </c>
      <c r="E68" s="85">
        <v>-0.1671492</v>
      </c>
      <c r="F68" s="85">
        <v>-0.1217081</v>
      </c>
      <c r="G68" s="85">
        <v>-0.18842890000000001</v>
      </c>
      <c r="H68" s="85">
        <v>-0.17977779999999999</v>
      </c>
      <c r="I68" s="85">
        <v>-0.15975130000000001</v>
      </c>
      <c r="J68" s="85">
        <v>-7.7950000000000005E-2</v>
      </c>
      <c r="K68" s="85">
        <v>-0.17590749999999999</v>
      </c>
      <c r="L68" s="85">
        <v>-0.18078900000000001</v>
      </c>
    </row>
    <row r="69" spans="1:14" x14ac:dyDescent="0.2">
      <c r="A69" s="64" t="s">
        <v>68</v>
      </c>
      <c r="C69" s="85">
        <v>-3.307728</v>
      </c>
      <c r="D69" s="85">
        <v>-3.0311680000000001</v>
      </c>
      <c r="E69" s="85">
        <v>-3.8199749999999999</v>
      </c>
      <c r="F69" s="85">
        <v>-3.5006550000000001</v>
      </c>
      <c r="G69" s="85">
        <v>-4.3104089999999999</v>
      </c>
      <c r="H69" s="85">
        <v>-3.9463910000000002</v>
      </c>
      <c r="I69" s="85">
        <v>-4.6087509999999998</v>
      </c>
      <c r="J69" s="85">
        <v>-4.1567530000000001</v>
      </c>
      <c r="K69" s="85">
        <v>-4.4091990000000001</v>
      </c>
      <c r="L69" s="85">
        <v>-4.2088099999999997</v>
      </c>
    </row>
    <row r="70" spans="1:14" ht="58.25" customHeight="1" x14ac:dyDescent="0.2">
      <c r="A70" s="86" t="s">
        <v>95</v>
      </c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7"/>
      <c r="N70" s="87"/>
    </row>
    <row r="71" spans="1:14" x14ac:dyDescent="0.2">
      <c r="A71" s="5" t="s">
        <v>96</v>
      </c>
      <c r="B71" s="64"/>
      <c r="C71" s="85">
        <v>0.99970000000000003</v>
      </c>
      <c r="D71" s="77">
        <v>0.99919999999999998</v>
      </c>
      <c r="E71" s="85">
        <v>0.99960000000000004</v>
      </c>
      <c r="F71" s="85">
        <v>0.99890000000000001</v>
      </c>
      <c r="G71" s="85">
        <v>0.99970000000000003</v>
      </c>
      <c r="H71" s="85">
        <v>0.99929999999999997</v>
      </c>
      <c r="I71" s="85">
        <v>0.99950000000000006</v>
      </c>
      <c r="J71" s="85">
        <v>0.99880000000000002</v>
      </c>
      <c r="K71" s="85">
        <v>0.99939999999999996</v>
      </c>
      <c r="L71" s="85">
        <v>0.99870000000000003</v>
      </c>
    </row>
    <row r="72" spans="1:14" x14ac:dyDescent="0.2">
      <c r="E72" s="85"/>
      <c r="F72" s="77"/>
      <c r="G72" s="85"/>
      <c r="H72" s="85"/>
      <c r="I72" s="85"/>
      <c r="J72" s="85"/>
      <c r="K72" s="85"/>
      <c r="L72" s="85"/>
      <c r="M72" s="85"/>
      <c r="N72" s="85"/>
    </row>
    <row r="73" spans="1:14" x14ac:dyDescent="0.2">
      <c r="A73" s="64"/>
      <c r="B73" s="64"/>
      <c r="C73" s="64"/>
      <c r="D73" s="64"/>
      <c r="E73" s="85"/>
      <c r="F73" s="77"/>
      <c r="G73" s="85"/>
      <c r="H73" s="85"/>
      <c r="I73" s="85"/>
      <c r="J73" s="85"/>
      <c r="K73" s="85"/>
      <c r="L73" s="85"/>
      <c r="M73" s="85"/>
      <c r="N73" s="85"/>
    </row>
    <row r="74" spans="1:14" x14ac:dyDescent="0.2">
      <c r="A74" s="64"/>
      <c r="B74" s="64"/>
      <c r="C74" s="85"/>
      <c r="D74" s="85"/>
      <c r="E74" s="85"/>
      <c r="F74" s="77"/>
      <c r="G74" s="85"/>
      <c r="H74" s="85"/>
      <c r="I74" s="85"/>
      <c r="J74" s="85"/>
      <c r="K74" s="85"/>
      <c r="L74" s="85"/>
    </row>
    <row r="75" spans="1:14" x14ac:dyDescent="0.2">
      <c r="A75" s="64"/>
      <c r="B75" s="64"/>
      <c r="C75" s="77"/>
      <c r="D75" s="77"/>
      <c r="E75" s="77"/>
      <c r="F75" s="77"/>
      <c r="G75" s="77"/>
      <c r="H75" s="77"/>
      <c r="I75" s="77"/>
      <c r="J75" s="77"/>
      <c r="K75" s="77"/>
      <c r="L75" s="77"/>
    </row>
  </sheetData>
  <mergeCells count="21">
    <mergeCell ref="A70:L70"/>
    <mergeCell ref="K16:L16"/>
    <mergeCell ref="B41:B42"/>
    <mergeCell ref="A45:A46"/>
    <mergeCell ref="C45:D45"/>
    <mergeCell ref="E45:F45"/>
    <mergeCell ref="G45:H45"/>
    <mergeCell ref="I45:J45"/>
    <mergeCell ref="K45:L45"/>
    <mergeCell ref="A16:A17"/>
    <mergeCell ref="B16:B17"/>
    <mergeCell ref="C16:D16"/>
    <mergeCell ref="E16:F16"/>
    <mergeCell ref="G16:H16"/>
    <mergeCell ref="I16:J16"/>
    <mergeCell ref="E3:N3"/>
    <mergeCell ref="E4:F4"/>
    <mergeCell ref="G4:H4"/>
    <mergeCell ref="I4:J4"/>
    <mergeCell ref="K4:L4"/>
    <mergeCell ref="M4:N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EE980-7D75-764E-98BE-1865D8E7DFB4}">
  <dimension ref="A1:N81"/>
  <sheetViews>
    <sheetView tabSelected="1" workbookViewId="0">
      <selection activeCell="A28" sqref="A28"/>
    </sheetView>
  </sheetViews>
  <sheetFormatPr baseColWidth="10" defaultColWidth="8.83203125" defaultRowHeight="15" x14ac:dyDescent="0.2"/>
  <cols>
    <col min="1" max="1" width="48.5" style="5" customWidth="1"/>
    <col min="2" max="2" width="23.83203125" style="5" customWidth="1"/>
    <col min="3" max="12" width="11.5" style="5" customWidth="1"/>
    <col min="13" max="14" width="11.1640625" style="5" customWidth="1"/>
    <col min="15" max="16384" width="8.83203125" style="5"/>
  </cols>
  <sheetData>
    <row r="1" spans="1:14" x14ac:dyDescent="0.2">
      <c r="A1" s="64" t="s">
        <v>97</v>
      </c>
      <c r="B1" s="64"/>
      <c r="C1" s="64"/>
      <c r="D1" s="64"/>
    </row>
    <row r="2" spans="1:14" ht="16" thickBot="1" x14ac:dyDescent="0.25">
      <c r="A2" s="64"/>
      <c r="B2" s="64"/>
      <c r="C2" s="64"/>
      <c r="D2" s="64"/>
    </row>
    <row r="3" spans="1:14" x14ac:dyDescent="0.2">
      <c r="A3" s="1" t="s">
        <v>0</v>
      </c>
      <c r="B3" s="2" t="s">
        <v>1</v>
      </c>
      <c r="C3" s="3" t="s">
        <v>2</v>
      </c>
      <c r="D3" s="64"/>
      <c r="E3" s="65" t="s">
        <v>22</v>
      </c>
      <c r="F3" s="66"/>
      <c r="G3" s="66"/>
      <c r="H3" s="66"/>
      <c r="I3" s="66"/>
      <c r="J3" s="66"/>
      <c r="K3" s="66"/>
      <c r="L3" s="66"/>
      <c r="M3" s="66"/>
      <c r="N3" s="67"/>
    </row>
    <row r="4" spans="1:14" x14ac:dyDescent="0.2">
      <c r="A4" s="4" t="s">
        <v>3</v>
      </c>
      <c r="B4" s="5" t="s">
        <v>4</v>
      </c>
      <c r="C4" s="6">
        <v>50</v>
      </c>
      <c r="D4" s="64"/>
      <c r="E4" s="68" t="s">
        <v>23</v>
      </c>
      <c r="F4" s="69"/>
      <c r="G4" s="69" t="s">
        <v>24</v>
      </c>
      <c r="H4" s="69"/>
      <c r="I4" s="69" t="s">
        <v>25</v>
      </c>
      <c r="J4" s="69"/>
      <c r="K4" s="69" t="s">
        <v>26</v>
      </c>
      <c r="L4" s="69"/>
      <c r="M4" s="69" t="s">
        <v>27</v>
      </c>
      <c r="N4" s="70"/>
    </row>
    <row r="5" spans="1:14" x14ac:dyDescent="0.2">
      <c r="A5" s="4" t="s">
        <v>5</v>
      </c>
      <c r="B5" s="5" t="s">
        <v>6</v>
      </c>
      <c r="C5" s="6">
        <v>200</v>
      </c>
      <c r="D5" s="64"/>
      <c r="E5" s="71" t="s">
        <v>28</v>
      </c>
      <c r="F5" s="72" t="s">
        <v>29</v>
      </c>
      <c r="G5" s="72" t="s">
        <v>28</v>
      </c>
      <c r="H5" s="72" t="s">
        <v>29</v>
      </c>
      <c r="I5" s="72" t="s">
        <v>28</v>
      </c>
      <c r="J5" s="72" t="s">
        <v>29</v>
      </c>
      <c r="K5" s="72" t="s">
        <v>28</v>
      </c>
      <c r="L5" s="72" t="s">
        <v>29</v>
      </c>
      <c r="M5" s="72" t="s">
        <v>28</v>
      </c>
      <c r="N5" s="73" t="s">
        <v>29</v>
      </c>
    </row>
    <row r="6" spans="1:14" ht="16" thickBot="1" x14ac:dyDescent="0.25">
      <c r="A6" s="4" t="s">
        <v>7</v>
      </c>
      <c r="B6" s="5" t="s">
        <v>8</v>
      </c>
      <c r="C6" s="6">
        <v>45</v>
      </c>
      <c r="D6" s="64"/>
      <c r="E6" s="74">
        <f t="shared" ref="E6:N6" si="0">C45</f>
        <v>0.1565456427896422</v>
      </c>
      <c r="F6" s="75">
        <f t="shared" si="0"/>
        <v>0.18234221797505024</v>
      </c>
      <c r="G6" s="75">
        <f t="shared" si="0"/>
        <v>0.10034803473666953</v>
      </c>
      <c r="H6" s="75">
        <f t="shared" si="0"/>
        <v>0.11373705460993858</v>
      </c>
      <c r="I6" s="75">
        <f t="shared" si="0"/>
        <v>8.8627509031656476E-2</v>
      </c>
      <c r="J6" s="75">
        <f t="shared" si="0"/>
        <v>0.12257323285777438</v>
      </c>
      <c r="K6" s="75">
        <f t="shared" si="0"/>
        <v>4.8158891937446387E-2</v>
      </c>
      <c r="L6" s="75">
        <f t="shared" si="0"/>
        <v>6.2448879095301488E-2</v>
      </c>
      <c r="M6" s="75">
        <f t="shared" si="0"/>
        <v>5.8436324320371096E-2</v>
      </c>
      <c r="N6" s="76">
        <f t="shared" si="0"/>
        <v>5.9475415120951225E-2</v>
      </c>
    </row>
    <row r="7" spans="1:14" x14ac:dyDescent="0.2">
      <c r="A7" s="7" t="s">
        <v>9</v>
      </c>
      <c r="B7" s="8" t="s">
        <v>10</v>
      </c>
      <c r="C7" s="6">
        <v>160</v>
      </c>
      <c r="D7" s="64"/>
      <c r="E7" s="5" t="s">
        <v>42</v>
      </c>
    </row>
    <row r="8" spans="1:14" x14ac:dyDescent="0.2">
      <c r="A8" s="4" t="s">
        <v>11</v>
      </c>
      <c r="B8" s="9" t="s">
        <v>12</v>
      </c>
      <c r="C8" s="6">
        <v>1</v>
      </c>
      <c r="D8" s="64"/>
    </row>
    <row r="9" spans="1:14" x14ac:dyDescent="0.2">
      <c r="A9" s="4" t="s">
        <v>13</v>
      </c>
      <c r="B9" s="9" t="s">
        <v>12</v>
      </c>
      <c r="C9" s="6">
        <v>0</v>
      </c>
      <c r="D9" s="64"/>
    </row>
    <row r="10" spans="1:14" ht="14.5" customHeight="1" x14ac:dyDescent="0.2">
      <c r="A10" s="10" t="s">
        <v>14</v>
      </c>
      <c r="B10" s="8" t="s">
        <v>15</v>
      </c>
      <c r="C10" s="6">
        <v>35</v>
      </c>
      <c r="D10" s="64"/>
      <c r="E10" s="77"/>
      <c r="F10" s="77"/>
      <c r="G10" s="77"/>
      <c r="H10" s="77"/>
      <c r="I10" s="77"/>
      <c r="J10" s="77"/>
      <c r="K10" s="77"/>
      <c r="L10" s="77"/>
      <c r="M10" s="77"/>
      <c r="N10" s="77"/>
    </row>
    <row r="11" spans="1:14" ht="14.5" customHeight="1" x14ac:dyDescent="0.2">
      <c r="A11" s="7" t="s">
        <v>16</v>
      </c>
      <c r="B11" s="8" t="s">
        <v>17</v>
      </c>
      <c r="C11" s="6">
        <v>90</v>
      </c>
      <c r="D11" s="64"/>
      <c r="E11" s="77"/>
      <c r="F11" s="77"/>
      <c r="G11" s="77"/>
      <c r="H11" s="77"/>
      <c r="I11" s="77"/>
      <c r="J11" s="77"/>
      <c r="K11" s="77"/>
      <c r="L11" s="77"/>
      <c r="M11" s="77"/>
      <c r="N11" s="77"/>
    </row>
    <row r="12" spans="1:14" x14ac:dyDescent="0.2">
      <c r="A12" s="4" t="s">
        <v>18</v>
      </c>
      <c r="B12" s="9" t="s">
        <v>12</v>
      </c>
      <c r="C12" s="6">
        <v>1</v>
      </c>
      <c r="D12" s="64"/>
      <c r="E12" s="77"/>
      <c r="F12" s="77"/>
      <c r="G12" s="77"/>
      <c r="H12" s="77"/>
      <c r="I12" s="77"/>
      <c r="J12" s="77"/>
      <c r="K12" s="77"/>
      <c r="L12" s="77"/>
      <c r="M12" s="77"/>
      <c r="N12" s="77"/>
    </row>
    <row r="13" spans="1:14" x14ac:dyDescent="0.2">
      <c r="A13" s="4" t="s">
        <v>19</v>
      </c>
      <c r="B13" s="9" t="s">
        <v>12</v>
      </c>
      <c r="C13" s="6">
        <v>0</v>
      </c>
      <c r="D13" s="64"/>
      <c r="E13" s="77"/>
      <c r="F13" s="77"/>
      <c r="G13" s="77"/>
      <c r="H13" s="77"/>
      <c r="I13" s="77"/>
      <c r="J13" s="77"/>
      <c r="K13" s="77"/>
      <c r="L13" s="77"/>
      <c r="M13" s="77"/>
      <c r="N13" s="77"/>
    </row>
    <row r="14" spans="1:14" ht="16" thickBot="1" x14ac:dyDescent="0.25">
      <c r="A14" s="78" t="s">
        <v>20</v>
      </c>
      <c r="B14" s="11" t="s">
        <v>21</v>
      </c>
      <c r="C14" s="12">
        <v>8</v>
      </c>
      <c r="D14" s="64"/>
      <c r="E14" s="77"/>
      <c r="F14" s="77"/>
      <c r="G14" s="77"/>
      <c r="H14" s="77"/>
      <c r="I14" s="77"/>
      <c r="J14" s="77"/>
      <c r="K14" s="77"/>
      <c r="L14" s="77"/>
      <c r="M14" s="77"/>
      <c r="N14" s="77"/>
    </row>
    <row r="15" spans="1:14" x14ac:dyDescent="0.2">
      <c r="A15" s="64"/>
      <c r="B15" s="64"/>
      <c r="C15" s="64"/>
      <c r="D15" s="64"/>
      <c r="E15" s="77"/>
      <c r="F15" s="77"/>
      <c r="G15" s="77"/>
      <c r="H15" s="77"/>
      <c r="I15" s="77"/>
      <c r="J15" s="77"/>
      <c r="K15" s="77"/>
      <c r="L15" s="77"/>
      <c r="M15" s="77"/>
      <c r="N15" s="77"/>
    </row>
    <row r="16" spans="1:14" x14ac:dyDescent="0.2">
      <c r="A16" s="64" t="s">
        <v>43</v>
      </c>
      <c r="B16" s="64"/>
      <c r="C16" s="64"/>
      <c r="D16" s="64"/>
      <c r="E16" s="77"/>
      <c r="F16" s="77"/>
      <c r="G16" s="77"/>
      <c r="H16" s="77"/>
      <c r="I16" s="77"/>
      <c r="J16" s="77"/>
      <c r="K16" s="77"/>
      <c r="L16" s="77"/>
      <c r="M16" s="77"/>
      <c r="N16" s="77"/>
    </row>
    <row r="17" spans="1:12" ht="15" customHeight="1" x14ac:dyDescent="0.2">
      <c r="A17" s="80" t="s">
        <v>44</v>
      </c>
      <c r="B17" s="80" t="s">
        <v>45</v>
      </c>
      <c r="C17" s="69" t="s">
        <v>23</v>
      </c>
      <c r="D17" s="69"/>
      <c r="E17" s="69" t="s">
        <v>24</v>
      </c>
      <c r="F17" s="69"/>
      <c r="G17" s="69" t="s">
        <v>25</v>
      </c>
      <c r="H17" s="69"/>
      <c r="I17" s="69" t="s">
        <v>26</v>
      </c>
      <c r="J17" s="69"/>
      <c r="K17" s="69" t="s">
        <v>27</v>
      </c>
      <c r="L17" s="69"/>
    </row>
    <row r="18" spans="1:12" x14ac:dyDescent="0.2">
      <c r="A18" s="80"/>
      <c r="B18" s="80"/>
      <c r="C18" s="72" t="s">
        <v>28</v>
      </c>
      <c r="D18" s="72" t="s">
        <v>29</v>
      </c>
      <c r="E18" s="72" t="s">
        <v>28</v>
      </c>
      <c r="F18" s="72" t="s">
        <v>29</v>
      </c>
      <c r="G18" s="72" t="s">
        <v>28</v>
      </c>
      <c r="H18" s="72" t="s">
        <v>29</v>
      </c>
      <c r="I18" s="72" t="s">
        <v>28</v>
      </c>
      <c r="J18" s="72" t="s">
        <v>29</v>
      </c>
      <c r="K18" s="72" t="s">
        <v>28</v>
      </c>
      <c r="L18" s="72" t="s">
        <v>29</v>
      </c>
    </row>
    <row r="19" spans="1:12" x14ac:dyDescent="0.2">
      <c r="A19" s="5" t="s">
        <v>46</v>
      </c>
      <c r="B19" s="9">
        <f>IF(AND(C4&gt;=30,C4&lt;80),(C4-55)/10, "out of range")</f>
        <v>-0.5</v>
      </c>
      <c r="C19" s="9">
        <f t="shared" ref="C19:L34" si="1">$B19*C50</f>
        <v>-0.38770415000000003</v>
      </c>
      <c r="D19" s="9">
        <f t="shared" si="1"/>
        <v>-0.38781884999999999</v>
      </c>
      <c r="E19" s="9">
        <f t="shared" si="1"/>
        <v>-0.35140614999999997</v>
      </c>
      <c r="F19" s="9">
        <f t="shared" si="1"/>
        <v>-0.35750435000000003</v>
      </c>
      <c r="G19" s="9">
        <f t="shared" si="1"/>
        <v>-0.44095780000000001</v>
      </c>
      <c r="H19" s="9">
        <f t="shared" si="1"/>
        <v>-0.44708949999999997</v>
      </c>
      <c r="I19" s="9">
        <f t="shared" si="1"/>
        <v>-0.37915064999999998</v>
      </c>
      <c r="J19" s="9">
        <f t="shared" si="1"/>
        <v>-0.36869465000000001</v>
      </c>
      <c r="K19" s="9">
        <f t="shared" si="1"/>
        <v>-0.34419084999999999</v>
      </c>
      <c r="L19" s="9">
        <f t="shared" si="1"/>
        <v>-0.3581896</v>
      </c>
    </row>
    <row r="20" spans="1:12" x14ac:dyDescent="0.2">
      <c r="A20" s="5" t="s">
        <v>47</v>
      </c>
      <c r="B20" s="9">
        <f>IF(AND(C5&gt;=130,C5&lt;=320,C6&gt;=20,C6&lt;=100),(C5-C6)*0.02586-3.5,"out of range")</f>
        <v>0.5083000000000002</v>
      </c>
      <c r="C20" s="9">
        <f t="shared" si="1"/>
        <v>1.1271857480000005E-2</v>
      </c>
      <c r="D20" s="9">
        <f t="shared" si="1"/>
        <v>3.6359969750000012E-2</v>
      </c>
      <c r="E20" s="9">
        <f t="shared" si="1"/>
        <v>5.368044474000002E-2</v>
      </c>
      <c r="F20" s="9">
        <f t="shared" si="1"/>
        <v>8.2717641370000025E-2</v>
      </c>
      <c r="G20" s="9">
        <f t="shared" si="1"/>
        <v>0</v>
      </c>
      <c r="H20" s="9">
        <f t="shared" si="1"/>
        <v>0</v>
      </c>
      <c r="I20" s="9">
        <f t="shared" si="1"/>
        <v>8.1807936860000041E-2</v>
      </c>
      <c r="J20" s="9">
        <f t="shared" si="1"/>
        <v>0.13060173789000004</v>
      </c>
      <c r="K20" s="9">
        <f t="shared" si="1"/>
        <v>2.3824783450000012E-2</v>
      </c>
      <c r="L20" s="9">
        <f t="shared" si="1"/>
        <v>8.506451330000003E-3</v>
      </c>
    </row>
    <row r="21" spans="1:12" x14ac:dyDescent="0.2">
      <c r="A21" s="5" t="s">
        <v>48</v>
      </c>
      <c r="B21" s="9">
        <f>IF(AND(C6&gt;=20,C6&lt;=100),(C6*0.02586-1.3)/0.3,"out of range")</f>
        <v>-0.45433333333333364</v>
      </c>
      <c r="C21" s="9">
        <f t="shared" si="1"/>
        <v>7.5002618800000045E-2</v>
      </c>
      <c r="D21" s="9">
        <f t="shared" si="1"/>
        <v>4.4378144166666696E-2</v>
      </c>
      <c r="E21" s="9">
        <f t="shared" si="1"/>
        <v>6.825281563333338E-2</v>
      </c>
      <c r="F21" s="9">
        <f t="shared" si="1"/>
        <v>5.4292288133333373E-2</v>
      </c>
      <c r="G21" s="9">
        <f t="shared" si="1"/>
        <v>0</v>
      </c>
      <c r="H21" s="9">
        <f t="shared" si="1"/>
        <v>0</v>
      </c>
      <c r="I21" s="9">
        <f t="shared" si="1"/>
        <v>9.4474300500000066E-2</v>
      </c>
      <c r="J21" s="9">
        <f t="shared" si="1"/>
        <v>8.6325196100000057E-2</v>
      </c>
      <c r="K21" s="9">
        <f t="shared" si="1"/>
        <v>4.7008370700000031E-2</v>
      </c>
      <c r="L21" s="9">
        <f t="shared" si="1"/>
        <v>1.2041605233333343E-2</v>
      </c>
    </row>
    <row r="22" spans="1:12" x14ac:dyDescent="0.2">
      <c r="A22" s="5" t="s">
        <v>49</v>
      </c>
      <c r="B22" s="9">
        <f>IF(AND(C7&gt;=90,C7&lt;=200),(MIN(C7,110)-110)/20,"out of range")</f>
        <v>0</v>
      </c>
      <c r="C22" s="9">
        <f t="shared" si="1"/>
        <v>0</v>
      </c>
      <c r="D22" s="9">
        <f t="shared" si="1"/>
        <v>0</v>
      </c>
      <c r="E22" s="9">
        <f t="shared" si="1"/>
        <v>0</v>
      </c>
      <c r="F22" s="9">
        <f t="shared" si="1"/>
        <v>0</v>
      </c>
      <c r="G22" s="9">
        <f t="shared" si="1"/>
        <v>0</v>
      </c>
      <c r="H22" s="9">
        <f t="shared" si="1"/>
        <v>0</v>
      </c>
      <c r="I22" s="9">
        <f t="shared" si="1"/>
        <v>0</v>
      </c>
      <c r="J22" s="9">
        <f t="shared" si="1"/>
        <v>0</v>
      </c>
      <c r="K22" s="9">
        <f t="shared" si="1"/>
        <v>0</v>
      </c>
      <c r="L22" s="9">
        <f t="shared" si="1"/>
        <v>0</v>
      </c>
    </row>
    <row r="23" spans="1:12" x14ac:dyDescent="0.2">
      <c r="A23" s="5" t="s">
        <v>50</v>
      </c>
      <c r="B23" s="9">
        <f>IF(AND(C7&gt;=90,C7&lt;=200),(MAX(C7,110)-130)/20,"out of range")</f>
        <v>1.5</v>
      </c>
      <c r="C23" s="9">
        <f t="shared" si="1"/>
        <v>0.50717820000000002</v>
      </c>
      <c r="D23" s="9">
        <f t="shared" si="1"/>
        <v>0.48534794999999997</v>
      </c>
      <c r="E23" s="9">
        <f t="shared" si="1"/>
        <v>0.51040215</v>
      </c>
      <c r="F23" s="9">
        <f t="shared" si="1"/>
        <v>0.4769214</v>
      </c>
      <c r="G23" s="9">
        <f t="shared" si="1"/>
        <v>0.51861075000000001</v>
      </c>
      <c r="H23" s="9">
        <f t="shared" si="1"/>
        <v>0.52536150000000004</v>
      </c>
      <c r="I23" s="9">
        <f t="shared" si="1"/>
        <v>0.51409590000000005</v>
      </c>
      <c r="J23" s="9">
        <f t="shared" si="1"/>
        <v>0.46369215000000003</v>
      </c>
      <c r="K23" s="9">
        <f t="shared" si="1"/>
        <v>0.52071075</v>
      </c>
      <c r="L23" s="9">
        <f t="shared" si="1"/>
        <v>0.51010575000000002</v>
      </c>
    </row>
    <row r="24" spans="1:12" x14ac:dyDescent="0.2">
      <c r="A24" s="5" t="s">
        <v>51</v>
      </c>
      <c r="B24" s="9">
        <f>IF(OR(C8=0,C8=1),C8,"out of range")</f>
        <v>1</v>
      </c>
      <c r="C24" s="9">
        <f t="shared" si="1"/>
        <v>0.86243720000000001</v>
      </c>
      <c r="D24" s="9">
        <f t="shared" si="1"/>
        <v>0.77224959999999998</v>
      </c>
      <c r="E24" s="9">
        <f t="shared" si="1"/>
        <v>0.83802200000000004</v>
      </c>
      <c r="F24" s="9">
        <f t="shared" si="1"/>
        <v>0.71564220000000001</v>
      </c>
      <c r="G24" s="9">
        <f t="shared" si="1"/>
        <v>1.0263199999999999</v>
      </c>
      <c r="H24" s="9">
        <f t="shared" si="1"/>
        <v>0.92524530000000005</v>
      </c>
      <c r="I24" s="9">
        <f t="shared" si="1"/>
        <v>0.89843910000000005</v>
      </c>
      <c r="J24" s="9">
        <f t="shared" si="1"/>
        <v>0.76192400000000005</v>
      </c>
      <c r="K24" s="9">
        <f t="shared" si="1"/>
        <v>0.80692609999999998</v>
      </c>
      <c r="L24" s="9">
        <f t="shared" si="1"/>
        <v>0.65779770000000004</v>
      </c>
    </row>
    <row r="25" spans="1:12" x14ac:dyDescent="0.2">
      <c r="A25" s="5" t="s">
        <v>52</v>
      </c>
      <c r="B25" s="9">
        <f>IF(OR(C9=0,C9=1),C9,"out of range")</f>
        <v>0</v>
      </c>
      <c r="C25" s="9">
        <f t="shared" si="1"/>
        <v>0</v>
      </c>
      <c r="D25" s="9">
        <f t="shared" si="1"/>
        <v>0</v>
      </c>
      <c r="E25" s="9">
        <f t="shared" si="1"/>
        <v>0</v>
      </c>
      <c r="F25" s="9">
        <f t="shared" si="1"/>
        <v>0</v>
      </c>
      <c r="G25" s="9">
        <f t="shared" si="1"/>
        <v>0</v>
      </c>
      <c r="H25" s="9">
        <f t="shared" si="1"/>
        <v>0</v>
      </c>
      <c r="I25" s="9">
        <f t="shared" si="1"/>
        <v>0</v>
      </c>
      <c r="J25" s="9">
        <f t="shared" si="1"/>
        <v>0</v>
      </c>
      <c r="K25" s="9">
        <f t="shared" si="1"/>
        <v>0</v>
      </c>
      <c r="L25" s="9">
        <f t="shared" si="1"/>
        <v>0</v>
      </c>
    </row>
    <row r="26" spans="1:12" x14ac:dyDescent="0.2">
      <c r="A26" s="5" t="s">
        <v>53</v>
      </c>
      <c r="B26" s="9">
        <f>IF(AND(C10&gt;=18.5,C10&lt;40),(MIN(C10,30)-25)/5,"out of range")</f>
        <v>1</v>
      </c>
      <c r="C26" s="9">
        <f t="shared" si="1"/>
        <v>0</v>
      </c>
      <c r="D26" s="9">
        <f t="shared" si="1"/>
        <v>0</v>
      </c>
      <c r="E26" s="9">
        <f t="shared" si="1"/>
        <v>0</v>
      </c>
      <c r="F26" s="9">
        <f t="shared" si="1"/>
        <v>0</v>
      </c>
      <c r="G26" s="9">
        <f t="shared" si="1"/>
        <v>-1.6844700000000001E-2</v>
      </c>
      <c r="H26" s="9">
        <f t="shared" si="1"/>
        <v>-8.6629700000000004E-2</v>
      </c>
      <c r="I26" s="9">
        <f t="shared" si="1"/>
        <v>0</v>
      </c>
      <c r="J26" s="9">
        <f t="shared" si="1"/>
        <v>0</v>
      </c>
      <c r="K26" s="9">
        <f t="shared" si="1"/>
        <v>0</v>
      </c>
      <c r="L26" s="9">
        <f t="shared" si="1"/>
        <v>0</v>
      </c>
    </row>
    <row r="27" spans="1:12" x14ac:dyDescent="0.2">
      <c r="A27" s="5" t="s">
        <v>54</v>
      </c>
      <c r="B27" s="9">
        <f>IF(AND(C10&gt;=18.5,C10&lt;40),(MAX(C10,30)-30)/5,"out of range")</f>
        <v>1</v>
      </c>
      <c r="C27" s="9">
        <f t="shared" si="1"/>
        <v>0</v>
      </c>
      <c r="D27" s="9">
        <f t="shared" si="1"/>
        <v>0</v>
      </c>
      <c r="E27" s="9">
        <f t="shared" si="1"/>
        <v>0</v>
      </c>
      <c r="F27" s="9">
        <f t="shared" si="1"/>
        <v>0</v>
      </c>
      <c r="G27" s="9">
        <f t="shared" si="1"/>
        <v>0.2805126</v>
      </c>
      <c r="H27" s="9">
        <f t="shared" si="1"/>
        <v>0.37067650000000002</v>
      </c>
      <c r="I27" s="9">
        <f t="shared" si="1"/>
        <v>0</v>
      </c>
      <c r="J27" s="9">
        <f t="shared" si="1"/>
        <v>0</v>
      </c>
      <c r="K27" s="9">
        <f t="shared" si="1"/>
        <v>0</v>
      </c>
      <c r="L27" s="9">
        <f t="shared" si="1"/>
        <v>0</v>
      </c>
    </row>
    <row r="28" spans="1:12" x14ac:dyDescent="0.2">
      <c r="A28" s="5" t="s">
        <v>55</v>
      </c>
      <c r="B28" s="9">
        <f>IF(AND(C11&gt;=15,C11&lt;=150),(MIN(C11,60)-60)/-15,"out of range")</f>
        <v>0</v>
      </c>
      <c r="C28" s="9">
        <f t="shared" si="1"/>
        <v>0</v>
      </c>
      <c r="D28" s="9">
        <f t="shared" si="1"/>
        <v>0</v>
      </c>
      <c r="E28" s="9">
        <f t="shared" si="1"/>
        <v>0</v>
      </c>
      <c r="F28" s="9">
        <f t="shared" si="1"/>
        <v>0</v>
      </c>
      <c r="G28" s="9">
        <f t="shared" si="1"/>
        <v>0</v>
      </c>
      <c r="H28" s="9">
        <f t="shared" si="1"/>
        <v>0</v>
      </c>
      <c r="I28" s="9">
        <f t="shared" si="1"/>
        <v>0</v>
      </c>
      <c r="J28" s="9">
        <f t="shared" si="1"/>
        <v>0</v>
      </c>
      <c r="K28" s="9">
        <f t="shared" si="1"/>
        <v>0</v>
      </c>
      <c r="L28" s="9">
        <f t="shared" si="1"/>
        <v>0</v>
      </c>
    </row>
    <row r="29" spans="1:12" x14ac:dyDescent="0.2">
      <c r="A29" s="5" t="s">
        <v>56</v>
      </c>
      <c r="B29" s="9">
        <f>IF(AND(C11&gt;=15,C11&lt;=150),(MAX(C11,60)-90)/-15,"out of range")</f>
        <v>0</v>
      </c>
      <c r="C29" s="9">
        <f t="shared" si="1"/>
        <v>0</v>
      </c>
      <c r="D29" s="9">
        <f t="shared" si="1"/>
        <v>0</v>
      </c>
      <c r="E29" s="9">
        <f t="shared" si="1"/>
        <v>0</v>
      </c>
      <c r="F29" s="9">
        <f t="shared" si="1"/>
        <v>0</v>
      </c>
      <c r="G29" s="9">
        <f t="shared" si="1"/>
        <v>0</v>
      </c>
      <c r="H29" s="9">
        <f t="shared" si="1"/>
        <v>0</v>
      </c>
      <c r="I29" s="9">
        <f t="shared" si="1"/>
        <v>0</v>
      </c>
      <c r="J29" s="9">
        <f t="shared" si="1"/>
        <v>0</v>
      </c>
      <c r="K29" s="9">
        <f t="shared" si="1"/>
        <v>0</v>
      </c>
      <c r="L29" s="9">
        <f t="shared" si="1"/>
        <v>0</v>
      </c>
    </row>
    <row r="30" spans="1:12" x14ac:dyDescent="0.2">
      <c r="A30" s="5" t="s">
        <v>57</v>
      </c>
      <c r="B30" s="9">
        <f>IF(OR(C12=0,C12=1),C12,"out of range")</f>
        <v>1</v>
      </c>
      <c r="C30" s="9">
        <f t="shared" si="1"/>
        <v>0.31821660000000002</v>
      </c>
      <c r="D30" s="9">
        <f t="shared" si="1"/>
        <v>0.26340940000000002</v>
      </c>
      <c r="E30" s="9">
        <f t="shared" si="1"/>
        <v>0.22706480000000001</v>
      </c>
      <c r="F30" s="9">
        <f t="shared" si="1"/>
        <v>0.17862330000000001</v>
      </c>
      <c r="G30" s="9">
        <f t="shared" si="1"/>
        <v>0.34914869999999998</v>
      </c>
      <c r="H30" s="9">
        <f t="shared" si="1"/>
        <v>0.2688352</v>
      </c>
      <c r="I30" s="9">
        <f t="shared" si="1"/>
        <v>0.20894499999999999</v>
      </c>
      <c r="J30" s="9">
        <f t="shared" si="1"/>
        <v>0.1225093</v>
      </c>
      <c r="K30" s="9">
        <f t="shared" si="1"/>
        <v>0.2405852</v>
      </c>
      <c r="L30" s="9">
        <f t="shared" si="1"/>
        <v>0.24978990000000001</v>
      </c>
    </row>
    <row r="31" spans="1:12" x14ac:dyDescent="0.2">
      <c r="A31" s="5" t="s">
        <v>58</v>
      </c>
      <c r="B31" s="9">
        <f>IF(OR(C13=0,C13=1),C13,"out of range")</f>
        <v>0</v>
      </c>
      <c r="C31" s="9">
        <f t="shared" si="1"/>
        <v>0</v>
      </c>
      <c r="D31" s="9">
        <f t="shared" si="1"/>
        <v>0</v>
      </c>
      <c r="E31" s="9">
        <f t="shared" si="1"/>
        <v>0</v>
      </c>
      <c r="F31" s="9">
        <f t="shared" si="1"/>
        <v>0</v>
      </c>
      <c r="G31" s="9">
        <f t="shared" si="1"/>
        <v>0</v>
      </c>
      <c r="H31" s="9">
        <f t="shared" si="1"/>
        <v>0</v>
      </c>
      <c r="I31" s="9">
        <f t="shared" si="1"/>
        <v>0</v>
      </c>
      <c r="J31" s="9">
        <f t="shared" si="1"/>
        <v>0</v>
      </c>
      <c r="K31" s="9">
        <f t="shared" si="1"/>
        <v>0</v>
      </c>
      <c r="L31" s="9">
        <f t="shared" si="1"/>
        <v>0</v>
      </c>
    </row>
    <row r="32" spans="1:12" x14ac:dyDescent="0.2">
      <c r="A32" s="5" t="s">
        <v>59</v>
      </c>
      <c r="B32" s="9">
        <f>B23*B30</f>
        <v>1.5</v>
      </c>
      <c r="C32" s="9">
        <f t="shared" si="1"/>
        <v>-8.6168250000000002E-2</v>
      </c>
      <c r="D32" s="9">
        <f t="shared" si="1"/>
        <v>-5.5051950000000002E-2</v>
      </c>
      <c r="E32" s="9">
        <f t="shared" si="1"/>
        <v>-5.2422750000000004E-2</v>
      </c>
      <c r="F32" s="9">
        <f t="shared" si="1"/>
        <v>-4.24695E-2</v>
      </c>
      <c r="G32" s="9">
        <f t="shared" si="1"/>
        <v>-0.13355025000000001</v>
      </c>
      <c r="H32" s="9">
        <f t="shared" si="1"/>
        <v>-6.5233799999999995E-2</v>
      </c>
      <c r="I32" s="9">
        <f t="shared" si="1"/>
        <v>-0.11996910000000001</v>
      </c>
      <c r="J32" s="9">
        <f t="shared" si="1"/>
        <v>-9.212324999999999E-2</v>
      </c>
      <c r="K32" s="9">
        <f t="shared" si="1"/>
        <v>-1.080765E-2</v>
      </c>
      <c r="L32" s="9">
        <f t="shared" si="1"/>
        <v>2.1298649999999999E-2</v>
      </c>
    </row>
    <row r="33" spans="1:12" x14ac:dyDescent="0.2">
      <c r="A33" s="5" t="s">
        <v>60</v>
      </c>
      <c r="B33" s="9">
        <f>B20*B31</f>
        <v>0</v>
      </c>
      <c r="C33" s="9">
        <f t="shared" si="1"/>
        <v>0</v>
      </c>
      <c r="D33" s="9">
        <f t="shared" si="1"/>
        <v>0</v>
      </c>
      <c r="E33" s="9">
        <f t="shared" si="1"/>
        <v>0</v>
      </c>
      <c r="F33" s="9">
        <f t="shared" si="1"/>
        <v>0</v>
      </c>
      <c r="G33" s="9">
        <f t="shared" si="1"/>
        <v>0</v>
      </c>
      <c r="H33" s="9">
        <f t="shared" si="1"/>
        <v>0</v>
      </c>
      <c r="I33" s="9">
        <f t="shared" si="1"/>
        <v>0</v>
      </c>
      <c r="J33" s="9">
        <f t="shared" si="1"/>
        <v>0</v>
      </c>
      <c r="K33" s="9">
        <f t="shared" si="1"/>
        <v>0</v>
      </c>
      <c r="L33" s="9">
        <f t="shared" si="1"/>
        <v>0</v>
      </c>
    </row>
    <row r="34" spans="1:12" x14ac:dyDescent="0.2">
      <c r="A34" s="5" t="s">
        <v>61</v>
      </c>
      <c r="B34" s="9">
        <f>B19*B20</f>
        <v>-0.2541500000000001</v>
      </c>
      <c r="C34" s="9">
        <f t="shared" si="1"/>
        <v>2.122381235000001E-2</v>
      </c>
      <c r="D34" s="9">
        <f t="shared" si="1"/>
        <v>1.2902407635000003E-2</v>
      </c>
      <c r="E34" s="9">
        <f t="shared" si="1"/>
        <v>1.5856164350000007E-2</v>
      </c>
      <c r="F34" s="9">
        <f t="shared" si="1"/>
        <v>7.2637594900000031E-3</v>
      </c>
      <c r="G34" s="9">
        <f t="shared" si="1"/>
        <v>0</v>
      </c>
      <c r="H34" s="9">
        <f t="shared" si="1"/>
        <v>0</v>
      </c>
      <c r="I34" s="9">
        <f t="shared" si="1"/>
        <v>1.8592343250000008E-2</v>
      </c>
      <c r="J34" s="9">
        <f t="shared" si="1"/>
        <v>1.3817932180000006E-2</v>
      </c>
      <c r="K34" s="9">
        <f t="shared" si="1"/>
        <v>1.1743864860000003E-2</v>
      </c>
      <c r="L34" s="9">
        <f t="shared" si="1"/>
        <v>-5.5028812150000024E-3</v>
      </c>
    </row>
    <row r="35" spans="1:12" x14ac:dyDescent="0.2">
      <c r="A35" s="5" t="s">
        <v>62</v>
      </c>
      <c r="B35" s="9">
        <f>B19*B21</f>
        <v>0.22716666666666682</v>
      </c>
      <c r="C35" s="9">
        <f t="shared" ref="C35:L41" si="2">$B35*C66</f>
        <v>6.4102117166666712E-3</v>
      </c>
      <c r="D35" s="9">
        <f t="shared" si="2"/>
        <v>4.0516538000000026E-3</v>
      </c>
      <c r="E35" s="9">
        <f t="shared" si="2"/>
        <v>6.4766579666666714E-3</v>
      </c>
      <c r="F35" s="9">
        <f t="shared" si="2"/>
        <v>5.6189220666666706E-3</v>
      </c>
      <c r="G35" s="9">
        <f t="shared" si="2"/>
        <v>0</v>
      </c>
      <c r="H35" s="9">
        <f t="shared" si="2"/>
        <v>0</v>
      </c>
      <c r="I35" s="9">
        <f t="shared" si="2"/>
        <v>1.0599119616666675E-2</v>
      </c>
      <c r="J35" s="9">
        <f t="shared" si="2"/>
        <v>1.1663986083333341E-2</v>
      </c>
      <c r="K35" s="9">
        <f t="shared" si="2"/>
        <v>3.0708162833333352E-3</v>
      </c>
      <c r="L35" s="9">
        <f t="shared" si="2"/>
        <v>-2.3543780500000014E-3</v>
      </c>
    </row>
    <row r="36" spans="1:12" x14ac:dyDescent="0.2">
      <c r="A36" s="5" t="s">
        <v>63</v>
      </c>
      <c r="B36" s="9">
        <f>B19*B23</f>
        <v>-0.75</v>
      </c>
      <c r="C36" s="9">
        <f t="shared" si="2"/>
        <v>7.1448524999999999E-2</v>
      </c>
      <c r="D36" s="9">
        <f t="shared" si="2"/>
        <v>7.9450275000000001E-2</v>
      </c>
      <c r="E36" s="9">
        <f t="shared" si="2"/>
        <v>7.7528324999999995E-2</v>
      </c>
      <c r="F36" s="9">
        <f t="shared" si="2"/>
        <v>6.8962049999999997E-2</v>
      </c>
      <c r="G36" s="9">
        <f t="shared" si="2"/>
        <v>7.2827100000000006E-2</v>
      </c>
      <c r="H36" s="9">
        <f t="shared" si="2"/>
        <v>9.7286625000000015E-2</v>
      </c>
      <c r="I36" s="9">
        <f t="shared" si="2"/>
        <v>6.6988574999999995E-2</v>
      </c>
      <c r="J36" s="9">
        <f t="shared" si="2"/>
        <v>6.3224699999999995E-2</v>
      </c>
      <c r="K36" s="9">
        <f t="shared" si="2"/>
        <v>8.8889775000000004E-2</v>
      </c>
      <c r="L36" s="9">
        <f t="shared" si="2"/>
        <v>8.6179050000000007E-2</v>
      </c>
    </row>
    <row r="37" spans="1:12" x14ac:dyDescent="0.2">
      <c r="A37" s="5" t="s">
        <v>64</v>
      </c>
      <c r="B37" s="9">
        <f>B19*B24</f>
        <v>-0.5</v>
      </c>
      <c r="C37" s="9">
        <f t="shared" si="2"/>
        <v>0.13594829999999999</v>
      </c>
      <c r="D37" s="9">
        <f t="shared" si="2"/>
        <v>0.11183775</v>
      </c>
      <c r="E37" s="9">
        <f t="shared" si="2"/>
        <v>0.12389225</v>
      </c>
      <c r="F37" s="9">
        <f t="shared" si="2"/>
        <v>9.9074549999999997E-2</v>
      </c>
      <c r="G37" s="9">
        <f t="shared" si="2"/>
        <v>0.1764039</v>
      </c>
      <c r="H37" s="9">
        <f t="shared" si="2"/>
        <v>0.14954300000000001</v>
      </c>
      <c r="I37" s="9">
        <f t="shared" si="2"/>
        <v>0.12915845000000001</v>
      </c>
      <c r="J37" s="9">
        <f t="shared" si="2"/>
        <v>0.1061752</v>
      </c>
      <c r="K37" s="9">
        <f t="shared" si="2"/>
        <v>0.12644825000000001</v>
      </c>
      <c r="L37" s="9">
        <f t="shared" si="2"/>
        <v>9.8292699999999997E-2</v>
      </c>
    </row>
    <row r="38" spans="1:12" x14ac:dyDescent="0.2">
      <c r="A38" s="5" t="s">
        <v>65</v>
      </c>
      <c r="B38" s="9">
        <f>B19*B25</f>
        <v>0</v>
      </c>
      <c r="C38" s="9">
        <f t="shared" si="2"/>
        <v>0</v>
      </c>
      <c r="D38" s="9">
        <f t="shared" si="2"/>
        <v>0</v>
      </c>
      <c r="E38" s="9">
        <f t="shared" si="2"/>
        <v>0</v>
      </c>
      <c r="F38" s="9">
        <f t="shared" si="2"/>
        <v>0</v>
      </c>
      <c r="G38" s="9">
        <f t="shared" si="2"/>
        <v>0</v>
      </c>
      <c r="H38" s="9">
        <f t="shared" si="2"/>
        <v>0</v>
      </c>
      <c r="I38" s="9">
        <f t="shared" si="2"/>
        <v>0</v>
      </c>
      <c r="J38" s="9">
        <f t="shared" si="2"/>
        <v>0</v>
      </c>
      <c r="K38" s="9">
        <f t="shared" si="2"/>
        <v>0</v>
      </c>
      <c r="L38" s="9">
        <f t="shared" si="2"/>
        <v>0</v>
      </c>
    </row>
    <row r="39" spans="1:12" x14ac:dyDescent="0.2">
      <c r="A39" s="5" t="s">
        <v>66</v>
      </c>
      <c r="B39" s="9">
        <f>B19*B27</f>
        <v>-0.5</v>
      </c>
      <c r="C39" s="9">
        <f t="shared" si="2"/>
        <v>0</v>
      </c>
      <c r="D39" s="9">
        <f t="shared" si="2"/>
        <v>0</v>
      </c>
      <c r="E39" s="9">
        <f t="shared" si="2"/>
        <v>0</v>
      </c>
      <c r="F39" s="9">
        <f t="shared" si="2"/>
        <v>0</v>
      </c>
      <c r="G39" s="9">
        <f t="shared" si="2"/>
        <v>-3.2499E-3</v>
      </c>
      <c r="H39" s="9">
        <f t="shared" si="2"/>
        <v>-6.5241500000000003E-3</v>
      </c>
      <c r="I39" s="9">
        <f t="shared" si="2"/>
        <v>0</v>
      </c>
      <c r="J39" s="9">
        <f t="shared" si="2"/>
        <v>0</v>
      </c>
      <c r="K39" s="9">
        <f t="shared" si="2"/>
        <v>0</v>
      </c>
      <c r="L39" s="9">
        <f t="shared" si="2"/>
        <v>0</v>
      </c>
    </row>
    <row r="40" spans="1:12" x14ac:dyDescent="0.2">
      <c r="A40" s="5" t="s">
        <v>67</v>
      </c>
      <c r="B40" s="9">
        <f>B19*B28</f>
        <v>0</v>
      </c>
      <c r="C40" s="9">
        <f t="shared" si="2"/>
        <v>0</v>
      </c>
      <c r="D40" s="9">
        <f t="shared" si="2"/>
        <v>0</v>
      </c>
      <c r="E40" s="9">
        <f t="shared" si="2"/>
        <v>0</v>
      </c>
      <c r="F40" s="9">
        <f t="shared" si="2"/>
        <v>0</v>
      </c>
      <c r="G40" s="9">
        <f t="shared" si="2"/>
        <v>0</v>
      </c>
      <c r="H40" s="9">
        <f t="shared" si="2"/>
        <v>0</v>
      </c>
      <c r="I40" s="9">
        <f t="shared" si="2"/>
        <v>0</v>
      </c>
      <c r="J40" s="9">
        <f t="shared" si="2"/>
        <v>0</v>
      </c>
      <c r="K40" s="9">
        <f t="shared" si="2"/>
        <v>0</v>
      </c>
      <c r="L40" s="9">
        <f t="shared" si="2"/>
        <v>0</v>
      </c>
    </row>
    <row r="41" spans="1:12" x14ac:dyDescent="0.2">
      <c r="A41" s="5" t="s">
        <v>98</v>
      </c>
      <c r="B41" s="9">
        <f>IF(OR(C14=1,C14=2,C14=3,C14=4,C14=5,C14=6,C14=7,C14=8,C14=9,C14=10),IF(AND(C14&gt;3,C14&lt;7),1,0),"out of range")</f>
        <v>0</v>
      </c>
      <c r="C41" s="9">
        <f>$B41*C72</f>
        <v>0</v>
      </c>
      <c r="D41" s="9">
        <f t="shared" si="2"/>
        <v>0</v>
      </c>
      <c r="E41" s="9">
        <f t="shared" si="2"/>
        <v>0</v>
      </c>
      <c r="F41" s="9">
        <f t="shared" si="2"/>
        <v>0</v>
      </c>
      <c r="G41" s="9">
        <f t="shared" si="2"/>
        <v>0</v>
      </c>
      <c r="H41" s="9">
        <f t="shared" si="2"/>
        <v>0</v>
      </c>
      <c r="I41" s="9">
        <f t="shared" si="2"/>
        <v>0</v>
      </c>
      <c r="J41" s="9">
        <f t="shared" si="2"/>
        <v>0</v>
      </c>
      <c r="K41" s="9">
        <f t="shared" si="2"/>
        <v>0</v>
      </c>
      <c r="L41" s="9">
        <f t="shared" si="2"/>
        <v>0</v>
      </c>
    </row>
    <row r="42" spans="1:12" x14ac:dyDescent="0.2">
      <c r="A42" s="5" t="s">
        <v>99</v>
      </c>
      <c r="B42" s="9">
        <f>IF(OR(C14=1,C14=2,C14=3,C14=4,C14=5,C14=6,C14=7,C14=8,C14=9,C14=10),IF(C14&gt;6,1,0),"out of range")</f>
        <v>1</v>
      </c>
      <c r="C42" s="9">
        <f t="shared" ref="C42:L42" si="3">$B42*C73</f>
        <v>0.24214089999999999</v>
      </c>
      <c r="D42" s="9">
        <f t="shared" si="3"/>
        <v>0.29189700000000002</v>
      </c>
      <c r="E42" s="9">
        <f t="shared" si="3"/>
        <v>0.24518780000000001</v>
      </c>
      <c r="F42" s="9">
        <f t="shared" si="3"/>
        <v>0.28244530000000001</v>
      </c>
      <c r="G42" s="9">
        <f t="shared" si="3"/>
        <v>0.24965219999999999</v>
      </c>
      <c r="H42" s="9">
        <f t="shared" si="3"/>
        <v>0.35922120000000002</v>
      </c>
      <c r="I42" s="9">
        <f t="shared" si="3"/>
        <v>0.24694969999999999</v>
      </c>
      <c r="J42" s="9">
        <f t="shared" si="3"/>
        <v>0.2464877</v>
      </c>
      <c r="K42" s="9">
        <f t="shared" si="3"/>
        <v>0.2267393</v>
      </c>
      <c r="L42" s="9">
        <f t="shared" si="3"/>
        <v>0.33615030000000001</v>
      </c>
    </row>
    <row r="43" spans="1:12" x14ac:dyDescent="0.2">
      <c r="A43" s="5" t="s">
        <v>68</v>
      </c>
      <c r="B43" s="9">
        <v>1</v>
      </c>
      <c r="C43" s="9">
        <f t="shared" ref="C43:L43" si="4">$B43*C75</f>
        <v>-3.4615640000000001</v>
      </c>
      <c r="D43" s="9">
        <f t="shared" si="4"/>
        <v>-3.1595719999999998</v>
      </c>
      <c r="E43" s="9">
        <f t="shared" si="4"/>
        <v>-3.9558979999999999</v>
      </c>
      <c r="F43" s="9">
        <f t="shared" si="4"/>
        <v>-3.6247120000000002</v>
      </c>
      <c r="G43" s="9">
        <f t="shared" si="4"/>
        <v>-4.4093819999999999</v>
      </c>
      <c r="H43" s="9">
        <f t="shared" si="4"/>
        <v>-4.0589769999999996</v>
      </c>
      <c r="I43" s="9">
        <f t="shared" si="4"/>
        <v>-4.754823</v>
      </c>
      <c r="J43" s="9">
        <f t="shared" si="4"/>
        <v>-4.2545270000000004</v>
      </c>
      <c r="K43" s="9">
        <f t="shared" si="4"/>
        <v>-4.5205529999999996</v>
      </c>
      <c r="L43" s="9">
        <f t="shared" si="4"/>
        <v>-4.3749900000000004</v>
      </c>
    </row>
    <row r="44" spans="1:12" ht="14.5" customHeight="1" x14ac:dyDescent="0.2">
      <c r="A44" s="64" t="s">
        <v>69</v>
      </c>
      <c r="B44" s="81" t="s">
        <v>70</v>
      </c>
      <c r="C44" s="9">
        <f>SUM(C19:C43)</f>
        <v>-1.6841581746533336</v>
      </c>
      <c r="D44" s="9">
        <f t="shared" ref="D44:L44" si="5">SUM(D19:D43)</f>
        <v>-1.5005586496483332</v>
      </c>
      <c r="E44" s="9">
        <f t="shared" si="5"/>
        <v>-2.1933634923099996</v>
      </c>
      <c r="F44" s="9">
        <f t="shared" si="5"/>
        <v>-2.0531244389399999</v>
      </c>
      <c r="G44" s="9">
        <f t="shared" si="5"/>
        <v>-2.3305094</v>
      </c>
      <c r="H44" s="9">
        <f t="shared" si="5"/>
        <v>-1.9682848249999991</v>
      </c>
      <c r="I44" s="9">
        <f t="shared" si="5"/>
        <v>-2.9838923247733335</v>
      </c>
      <c r="J44" s="9">
        <f t="shared" si="5"/>
        <v>-2.7089229977466669</v>
      </c>
      <c r="K44" s="9">
        <f t="shared" si="5"/>
        <v>-2.7796042897066666</v>
      </c>
      <c r="L44" s="9">
        <f t="shared" si="5"/>
        <v>-2.7608747527016666</v>
      </c>
    </row>
    <row r="45" spans="1:12" x14ac:dyDescent="0.2">
      <c r="A45" s="82" t="s">
        <v>71</v>
      </c>
      <c r="B45" s="81"/>
      <c r="C45" s="83">
        <f>EXP(C44)/(1+EXP(C44))</f>
        <v>0.1565456427896422</v>
      </c>
      <c r="D45" s="83">
        <f t="shared" ref="D45:L45" si="6">EXP(D44)/(1+EXP(D44))</f>
        <v>0.18234221797505024</v>
      </c>
      <c r="E45" s="83">
        <f t="shared" si="6"/>
        <v>0.10034803473666953</v>
      </c>
      <c r="F45" s="83">
        <f t="shared" si="6"/>
        <v>0.11373705460993858</v>
      </c>
      <c r="G45" s="83">
        <f t="shared" si="6"/>
        <v>8.8627509031656476E-2</v>
      </c>
      <c r="H45" s="83">
        <f t="shared" si="6"/>
        <v>0.12257323285777438</v>
      </c>
      <c r="I45" s="83">
        <f t="shared" si="6"/>
        <v>4.8158891937446387E-2</v>
      </c>
      <c r="J45" s="83">
        <f t="shared" si="6"/>
        <v>6.2448879095301488E-2</v>
      </c>
      <c r="K45" s="83">
        <f t="shared" si="6"/>
        <v>5.8436324320371096E-2</v>
      </c>
      <c r="L45" s="83">
        <f t="shared" si="6"/>
        <v>5.9475415120951225E-2</v>
      </c>
    </row>
    <row r="46" spans="1:12" x14ac:dyDescent="0.2">
      <c r="A46" s="82"/>
      <c r="B46" s="84"/>
      <c r="C46" s="83"/>
      <c r="D46" s="83"/>
      <c r="E46" s="83"/>
      <c r="F46" s="83"/>
      <c r="G46" s="83"/>
      <c r="H46" s="83"/>
      <c r="I46" s="83"/>
      <c r="J46" s="83"/>
      <c r="K46" s="83"/>
      <c r="L46" s="83"/>
    </row>
    <row r="47" spans="1:12" x14ac:dyDescent="0.2">
      <c r="A47" s="15" t="s">
        <v>72</v>
      </c>
      <c r="B47" s="84"/>
      <c r="C47" s="83"/>
      <c r="D47" s="83"/>
      <c r="E47" s="83"/>
      <c r="F47" s="83"/>
      <c r="G47" s="83"/>
      <c r="H47" s="83"/>
      <c r="I47" s="83"/>
      <c r="J47" s="83"/>
      <c r="K47" s="83"/>
      <c r="L47" s="83"/>
    </row>
    <row r="48" spans="1:12" x14ac:dyDescent="0.2">
      <c r="A48" s="80" t="s">
        <v>73</v>
      </c>
      <c r="C48" s="69" t="s">
        <v>23</v>
      </c>
      <c r="D48" s="69"/>
      <c r="E48" s="69" t="s">
        <v>24</v>
      </c>
      <c r="F48" s="69"/>
      <c r="G48" s="69" t="s">
        <v>25</v>
      </c>
      <c r="H48" s="69"/>
      <c r="I48" s="69" t="s">
        <v>26</v>
      </c>
      <c r="J48" s="69"/>
      <c r="K48" s="69" t="s">
        <v>27</v>
      </c>
      <c r="L48" s="69"/>
    </row>
    <row r="49" spans="1:12" x14ac:dyDescent="0.2">
      <c r="A49" s="80"/>
      <c r="B49" s="64"/>
      <c r="C49" s="72" t="s">
        <v>28</v>
      </c>
      <c r="D49" s="72" t="s">
        <v>29</v>
      </c>
      <c r="E49" s="72" t="s">
        <v>28</v>
      </c>
      <c r="F49" s="72" t="s">
        <v>29</v>
      </c>
      <c r="G49" s="72" t="s">
        <v>28</v>
      </c>
      <c r="H49" s="72" t="s">
        <v>29</v>
      </c>
      <c r="I49" s="72" t="s">
        <v>28</v>
      </c>
      <c r="J49" s="72" t="s">
        <v>29</v>
      </c>
      <c r="K49" s="72" t="s">
        <v>28</v>
      </c>
      <c r="L49" s="72" t="s">
        <v>29</v>
      </c>
    </row>
    <row r="50" spans="1:12" x14ac:dyDescent="0.2">
      <c r="A50" s="64" t="s">
        <v>74</v>
      </c>
      <c r="C50" s="85">
        <v>0.77540830000000005</v>
      </c>
      <c r="D50" s="85">
        <v>0.77563769999999999</v>
      </c>
      <c r="E50" s="85">
        <v>0.70281229999999995</v>
      </c>
      <c r="F50" s="85">
        <v>0.71500870000000005</v>
      </c>
      <c r="G50" s="85">
        <v>0.88191560000000002</v>
      </c>
      <c r="H50" s="85">
        <v>0.89417899999999995</v>
      </c>
      <c r="I50" s="85">
        <v>0.75830129999999996</v>
      </c>
      <c r="J50" s="85">
        <v>0.73738930000000003</v>
      </c>
      <c r="K50" s="85">
        <v>0.68838169999999999</v>
      </c>
      <c r="L50" s="85">
        <v>0.71637919999999999</v>
      </c>
    </row>
    <row r="51" spans="1:12" x14ac:dyDescent="0.2">
      <c r="A51" s="64" t="s">
        <v>75</v>
      </c>
      <c r="C51" s="85">
        <v>2.21756E-2</v>
      </c>
      <c r="D51" s="85">
        <v>7.1532499999999999E-2</v>
      </c>
      <c r="E51" s="85">
        <v>0.1056078</v>
      </c>
      <c r="F51" s="85">
        <v>0.16273389999999999</v>
      </c>
      <c r="G51" s="85"/>
      <c r="H51" s="85"/>
      <c r="I51" s="85">
        <v>0.16094420000000001</v>
      </c>
      <c r="J51" s="85">
        <v>0.25693830000000001</v>
      </c>
      <c r="K51" s="85">
        <v>4.6871500000000003E-2</v>
      </c>
      <c r="L51" s="85">
        <v>1.6735099999999999E-2</v>
      </c>
    </row>
    <row r="52" spans="1:12" x14ac:dyDescent="0.2">
      <c r="A52" s="64" t="s">
        <v>76</v>
      </c>
      <c r="C52" s="85">
        <v>-0.1650828</v>
      </c>
      <c r="D52" s="85">
        <v>-9.76775E-2</v>
      </c>
      <c r="E52" s="85">
        <v>-0.15022630000000001</v>
      </c>
      <c r="F52" s="85">
        <v>-0.1194988</v>
      </c>
      <c r="G52" s="85"/>
      <c r="H52" s="85"/>
      <c r="I52" s="85">
        <v>-0.2079405</v>
      </c>
      <c r="J52" s="85">
        <v>-0.19000410000000001</v>
      </c>
      <c r="K52" s="85">
        <v>-0.10346669999999999</v>
      </c>
      <c r="L52" s="85">
        <v>-2.65039E-2</v>
      </c>
    </row>
    <row r="53" spans="1:12" x14ac:dyDescent="0.2">
      <c r="A53" s="64" t="s">
        <v>77</v>
      </c>
      <c r="C53" s="85">
        <v>-0.21808079999999999</v>
      </c>
      <c r="D53" s="85">
        <v>-0.51866140000000005</v>
      </c>
      <c r="E53" s="85">
        <v>-4.8875700000000001E-2</v>
      </c>
      <c r="F53" s="85">
        <v>-0.36365900000000001</v>
      </c>
      <c r="G53" s="85">
        <v>-0.44954909999999998</v>
      </c>
      <c r="H53" s="85">
        <v>-0.70673980000000003</v>
      </c>
      <c r="I53" s="85">
        <v>-2.75333E-2</v>
      </c>
      <c r="J53" s="85">
        <v>-0.43789359999999999</v>
      </c>
      <c r="K53" s="85">
        <v>-9.7592300000000007E-2</v>
      </c>
      <c r="L53" s="85">
        <v>-0.29204140000000001</v>
      </c>
    </row>
    <row r="54" spans="1:12" x14ac:dyDescent="0.2">
      <c r="A54" s="64" t="s">
        <v>78</v>
      </c>
      <c r="C54" s="85">
        <v>0.3381188</v>
      </c>
      <c r="D54" s="85">
        <v>0.3235653</v>
      </c>
      <c r="E54" s="85">
        <v>0.34026810000000002</v>
      </c>
      <c r="F54" s="85">
        <v>0.3179476</v>
      </c>
      <c r="G54" s="85">
        <v>0.34574050000000001</v>
      </c>
      <c r="H54" s="85">
        <v>0.35024100000000002</v>
      </c>
      <c r="I54" s="85">
        <v>0.3427306</v>
      </c>
      <c r="J54" s="85">
        <v>0.30912810000000002</v>
      </c>
      <c r="K54" s="85">
        <v>0.34714050000000002</v>
      </c>
      <c r="L54" s="85">
        <v>0.3400705</v>
      </c>
    </row>
    <row r="55" spans="1:12" x14ac:dyDescent="0.2">
      <c r="A55" s="64" t="s">
        <v>51</v>
      </c>
      <c r="C55" s="85">
        <v>0.86243720000000001</v>
      </c>
      <c r="D55" s="85">
        <v>0.77224959999999998</v>
      </c>
      <c r="E55" s="85">
        <v>0.83802200000000004</v>
      </c>
      <c r="F55" s="85">
        <v>0.71564220000000001</v>
      </c>
      <c r="G55" s="85">
        <v>1.0263199999999999</v>
      </c>
      <c r="H55" s="85">
        <v>0.92524530000000005</v>
      </c>
      <c r="I55" s="85">
        <v>0.89843910000000005</v>
      </c>
      <c r="J55" s="85">
        <v>0.76192400000000005</v>
      </c>
      <c r="K55" s="85">
        <v>0.80692609999999998</v>
      </c>
      <c r="L55" s="85">
        <v>0.65779770000000004</v>
      </c>
    </row>
    <row r="56" spans="1:12" ht="14.5" customHeight="1" x14ac:dyDescent="0.2">
      <c r="A56" s="64" t="s">
        <v>79</v>
      </c>
      <c r="C56" s="85">
        <v>0.46639530000000001</v>
      </c>
      <c r="D56" s="85">
        <v>0.37611289999999997</v>
      </c>
      <c r="E56" s="85">
        <v>0.40645920000000002</v>
      </c>
      <c r="F56" s="85">
        <v>0.34044770000000002</v>
      </c>
      <c r="G56" s="85">
        <v>0.53716459999999999</v>
      </c>
      <c r="H56" s="85">
        <v>0.43647649999999999</v>
      </c>
      <c r="I56" s="85">
        <v>0.45763789999999999</v>
      </c>
      <c r="J56" s="85">
        <v>0.33122859999999998</v>
      </c>
      <c r="K56" s="85">
        <v>0.36657319999999999</v>
      </c>
      <c r="L56" s="85">
        <v>0.3475259</v>
      </c>
    </row>
    <row r="57" spans="1:12" ht="14.5" customHeight="1" x14ac:dyDescent="0.2">
      <c r="A57" s="64" t="s">
        <v>80</v>
      </c>
      <c r="C57" s="85"/>
      <c r="D57" s="85"/>
      <c r="E57" s="85"/>
      <c r="F57" s="85"/>
      <c r="G57" s="85">
        <v>-1.6844700000000001E-2</v>
      </c>
      <c r="H57" s="85">
        <v>-8.6629700000000004E-2</v>
      </c>
      <c r="I57" s="85"/>
      <c r="J57" s="85"/>
      <c r="K57" s="85"/>
      <c r="L57" s="85"/>
    </row>
    <row r="58" spans="1:12" ht="14.5" customHeight="1" x14ac:dyDescent="0.2">
      <c r="A58" s="64" t="s">
        <v>81</v>
      </c>
      <c r="C58" s="85"/>
      <c r="D58" s="85"/>
      <c r="E58" s="85"/>
      <c r="F58" s="85"/>
      <c r="G58" s="85">
        <v>0.2805126</v>
      </c>
      <c r="H58" s="85">
        <v>0.37067650000000002</v>
      </c>
      <c r="I58" s="85"/>
      <c r="J58" s="85"/>
      <c r="K58" s="85"/>
      <c r="L58" s="85"/>
    </row>
    <row r="59" spans="1:12" ht="14.5" customHeight="1" x14ac:dyDescent="0.2">
      <c r="A59" s="64" t="s">
        <v>82</v>
      </c>
      <c r="C59" s="85">
        <v>0.59190039999999999</v>
      </c>
      <c r="D59" s="85">
        <v>0.51808929999999997</v>
      </c>
      <c r="E59" s="85">
        <v>0.48383939999999998</v>
      </c>
      <c r="F59" s="85">
        <v>0.35457539999999999</v>
      </c>
      <c r="G59" s="85">
        <v>0.73152229999999996</v>
      </c>
      <c r="H59" s="85">
        <v>0.66967679999999996</v>
      </c>
      <c r="I59" s="85">
        <v>0.51956159999999996</v>
      </c>
      <c r="J59" s="85">
        <v>0.3577071</v>
      </c>
      <c r="K59" s="85">
        <v>0.452297</v>
      </c>
      <c r="L59" s="85">
        <v>0.38123800000000002</v>
      </c>
    </row>
    <row r="60" spans="1:12" x14ac:dyDescent="0.2">
      <c r="A60" s="64" t="s">
        <v>83</v>
      </c>
      <c r="C60" s="85">
        <v>5.1682100000000002E-2</v>
      </c>
      <c r="D60" s="85">
        <v>1.1845100000000001E-2</v>
      </c>
      <c r="E60" s="85">
        <v>4.8041500000000001E-2</v>
      </c>
      <c r="F60" s="85">
        <v>1.5787499999999999E-2</v>
      </c>
      <c r="G60" s="85">
        <v>6.5167900000000001E-2</v>
      </c>
      <c r="H60" s="85">
        <v>2.3737399999999999E-2</v>
      </c>
      <c r="I60" s="85">
        <v>3.5275800000000003E-2</v>
      </c>
      <c r="J60" s="85">
        <v>1.22218E-2</v>
      </c>
      <c r="K60" s="85">
        <v>5.9979499999999998E-2</v>
      </c>
      <c r="L60" s="85">
        <v>2.2154400000000001E-2</v>
      </c>
    </row>
    <row r="61" spans="1:12" x14ac:dyDescent="0.2">
      <c r="A61" s="64" t="s">
        <v>84</v>
      </c>
      <c r="C61" s="85">
        <v>0.31821660000000002</v>
      </c>
      <c r="D61" s="85">
        <v>0.26340940000000002</v>
      </c>
      <c r="E61" s="85">
        <v>0.22706480000000001</v>
      </c>
      <c r="F61" s="85">
        <v>0.17862330000000001</v>
      </c>
      <c r="G61" s="85">
        <v>0.34914869999999998</v>
      </c>
      <c r="H61" s="85">
        <v>0.2688352</v>
      </c>
      <c r="I61" s="85">
        <v>0.20894499999999999</v>
      </c>
      <c r="J61" s="85">
        <v>0.1225093</v>
      </c>
      <c r="K61" s="85">
        <v>0.2405852</v>
      </c>
      <c r="L61" s="85">
        <v>0.24978990000000001</v>
      </c>
    </row>
    <row r="62" spans="1:12" ht="14.5" customHeight="1" x14ac:dyDescent="0.2">
      <c r="A62" s="64" t="s">
        <v>85</v>
      </c>
      <c r="C62" s="85">
        <v>-0.14608160000000001</v>
      </c>
      <c r="D62" s="85">
        <v>-0.1455263</v>
      </c>
      <c r="E62" s="85">
        <v>-5.8562599999999999E-2</v>
      </c>
      <c r="F62" s="85">
        <v>-0.1018269</v>
      </c>
      <c r="G62" s="85"/>
      <c r="H62" s="85"/>
      <c r="I62" s="85">
        <v>-4.6868899999999998E-2</v>
      </c>
      <c r="J62" s="85">
        <v>-7.9373799999999994E-2</v>
      </c>
      <c r="K62" s="85">
        <v>-7.9331399999999996E-2</v>
      </c>
      <c r="L62" s="85">
        <v>-0.1131643</v>
      </c>
    </row>
    <row r="63" spans="1:12" ht="14.5" customHeight="1" x14ac:dyDescent="0.2">
      <c r="A63" s="64" t="s">
        <v>86</v>
      </c>
      <c r="C63" s="85">
        <v>-5.7445499999999997E-2</v>
      </c>
      <c r="D63" s="85">
        <v>-3.6701299999999999E-2</v>
      </c>
      <c r="E63" s="85">
        <v>-3.49485E-2</v>
      </c>
      <c r="F63" s="85">
        <v>-2.8313000000000001E-2</v>
      </c>
      <c r="G63" s="85">
        <v>-8.9033500000000002E-2</v>
      </c>
      <c r="H63" s="85">
        <v>-4.3489199999999999E-2</v>
      </c>
      <c r="I63" s="85">
        <v>-7.9979400000000006E-2</v>
      </c>
      <c r="J63" s="85">
        <v>-6.1415499999999998E-2</v>
      </c>
      <c r="K63" s="85">
        <v>-7.2050999999999999E-3</v>
      </c>
      <c r="L63" s="85">
        <v>1.4199099999999999E-2</v>
      </c>
    </row>
    <row r="64" spans="1:12" x14ac:dyDescent="0.2">
      <c r="A64" s="64" t="s">
        <v>87</v>
      </c>
      <c r="C64" s="85">
        <v>0.1302287</v>
      </c>
      <c r="D64" s="85">
        <v>0.16177849999999999</v>
      </c>
      <c r="E64" s="85">
        <v>0.1017299</v>
      </c>
      <c r="F64" s="85">
        <v>0.1209467</v>
      </c>
      <c r="G64" s="85"/>
      <c r="H64" s="85"/>
      <c r="I64" s="85">
        <v>0.1104907</v>
      </c>
      <c r="J64" s="85">
        <v>9.3082499999999999E-2</v>
      </c>
      <c r="K64" s="85">
        <v>9.3935099999999994E-2</v>
      </c>
      <c r="L64" s="85">
        <v>0.1614911</v>
      </c>
    </row>
    <row r="65" spans="1:14" x14ac:dyDescent="0.2">
      <c r="A65" s="64" t="s">
        <v>88</v>
      </c>
      <c r="C65" s="85">
        <v>-8.3509E-2</v>
      </c>
      <c r="D65" s="85">
        <v>-5.0766899999999997E-2</v>
      </c>
      <c r="E65" s="85">
        <v>-6.2389E-2</v>
      </c>
      <c r="F65" s="85">
        <v>-2.8580600000000001E-2</v>
      </c>
      <c r="I65" s="85">
        <v>-7.3154999999999998E-2</v>
      </c>
      <c r="J65" s="85">
        <v>-5.4369199999999999E-2</v>
      </c>
      <c r="K65" s="85">
        <v>-4.6208399999999997E-2</v>
      </c>
      <c r="L65" s="85">
        <v>2.1652100000000001E-2</v>
      </c>
    </row>
    <row r="66" spans="1:14" x14ac:dyDescent="0.2">
      <c r="A66" s="64" t="s">
        <v>89</v>
      </c>
      <c r="C66" s="85">
        <v>2.8218099999999999E-2</v>
      </c>
      <c r="D66" s="85">
        <v>1.78356E-2</v>
      </c>
      <c r="E66" s="85">
        <v>2.8510600000000001E-2</v>
      </c>
      <c r="F66" s="85">
        <v>2.4734800000000001E-2</v>
      </c>
      <c r="G66" s="85"/>
      <c r="H66" s="85"/>
      <c r="I66" s="85">
        <v>4.6657900000000002E-2</v>
      </c>
      <c r="J66" s="85">
        <v>5.1345500000000002E-2</v>
      </c>
      <c r="K66" s="85">
        <v>1.3517899999999999E-2</v>
      </c>
      <c r="L66" s="85">
        <v>-1.0364099999999999E-2</v>
      </c>
    </row>
    <row r="67" spans="1:14" x14ac:dyDescent="0.2">
      <c r="A67" s="64" t="s">
        <v>90</v>
      </c>
      <c r="C67" s="85">
        <v>-9.5264699999999994E-2</v>
      </c>
      <c r="D67" s="85">
        <v>-0.10593370000000001</v>
      </c>
      <c r="E67" s="85">
        <v>-0.10337109999999999</v>
      </c>
      <c r="F67" s="85">
        <v>-9.1949400000000001E-2</v>
      </c>
      <c r="G67" s="85">
        <v>-9.7102800000000003E-2</v>
      </c>
      <c r="H67" s="85">
        <v>-0.12971550000000001</v>
      </c>
      <c r="I67" s="85">
        <v>-8.9318099999999997E-2</v>
      </c>
      <c r="J67" s="85">
        <v>-8.4299600000000002E-2</v>
      </c>
      <c r="K67" s="85">
        <v>-0.11851970000000001</v>
      </c>
      <c r="L67" s="85">
        <v>-0.1149054</v>
      </c>
    </row>
    <row r="68" spans="1:14" x14ac:dyDescent="0.2">
      <c r="A68" s="64" t="s">
        <v>91</v>
      </c>
      <c r="C68" s="85">
        <v>-0.27189659999999999</v>
      </c>
      <c r="D68" s="85">
        <v>-0.2236755</v>
      </c>
      <c r="E68" s="85">
        <v>-0.24778449999999999</v>
      </c>
      <c r="F68" s="85">
        <v>-0.19814909999999999</v>
      </c>
      <c r="G68" s="85">
        <v>-0.3528078</v>
      </c>
      <c r="H68" s="85">
        <v>-0.29908600000000002</v>
      </c>
      <c r="I68" s="85">
        <v>-0.25831690000000002</v>
      </c>
      <c r="J68" s="85">
        <v>-0.21235039999999999</v>
      </c>
      <c r="K68" s="85">
        <v>-0.25289650000000002</v>
      </c>
      <c r="L68" s="85">
        <v>-0.19658539999999999</v>
      </c>
    </row>
    <row r="69" spans="1:14" x14ac:dyDescent="0.2">
      <c r="A69" s="64" t="s">
        <v>92</v>
      </c>
      <c r="C69" s="85">
        <v>-6.4173800000000003E-2</v>
      </c>
      <c r="D69" s="85">
        <v>-7.23216E-2</v>
      </c>
      <c r="E69" s="85">
        <v>-5.4432599999999998E-2</v>
      </c>
      <c r="F69" s="85">
        <v>-7.7689099999999997E-2</v>
      </c>
      <c r="G69" s="85">
        <v>-0.106216</v>
      </c>
      <c r="H69" s="85">
        <v>-0.1079522</v>
      </c>
      <c r="I69" s="85">
        <v>-4.2833599999999999E-2</v>
      </c>
      <c r="J69" s="85">
        <v>-9.17351E-2</v>
      </c>
      <c r="K69" s="85">
        <v>-6.8300299999999994E-2</v>
      </c>
      <c r="L69" s="85">
        <v>-6.03548E-2</v>
      </c>
    </row>
    <row r="70" spans="1:14" x14ac:dyDescent="0.2">
      <c r="A70" s="64" t="s">
        <v>93</v>
      </c>
      <c r="E70" s="85"/>
      <c r="F70" s="85"/>
      <c r="G70" s="85">
        <v>6.4998E-3</v>
      </c>
      <c r="H70" s="85">
        <v>1.3048300000000001E-2</v>
      </c>
      <c r="I70" s="85"/>
      <c r="J70" s="85"/>
      <c r="K70" s="85"/>
      <c r="L70" s="85"/>
    </row>
    <row r="71" spans="1:14" x14ac:dyDescent="0.2">
      <c r="A71" s="64" t="s">
        <v>94</v>
      </c>
      <c r="C71" s="85">
        <v>-0.17170260000000001</v>
      </c>
      <c r="D71" s="85">
        <v>-0.1548205</v>
      </c>
      <c r="E71" s="85">
        <v>-0.1735372</v>
      </c>
      <c r="F71" s="85">
        <v>-0.12848989999999999</v>
      </c>
      <c r="G71" s="85">
        <v>-0.18994130000000001</v>
      </c>
      <c r="H71" s="85">
        <v>-0.1797791</v>
      </c>
      <c r="I71" s="85">
        <v>-0.1663626</v>
      </c>
      <c r="J71" s="85">
        <v>-7.8176499999999996E-2</v>
      </c>
      <c r="K71" s="85">
        <v>-0.18054880000000001</v>
      </c>
      <c r="L71" s="85">
        <v>-0.18947839999999999</v>
      </c>
    </row>
    <row r="72" spans="1:14" x14ac:dyDescent="0.2">
      <c r="A72" s="88" t="s">
        <v>100</v>
      </c>
      <c r="C72" s="85">
        <v>0.14427760000000001</v>
      </c>
      <c r="D72" s="85">
        <v>8.8911900000000002E-2</v>
      </c>
      <c r="E72" s="85">
        <v>0.14737049999999999</v>
      </c>
      <c r="F72" s="85">
        <v>7.2824200000000006E-2</v>
      </c>
      <c r="G72" s="85">
        <v>0.1343318</v>
      </c>
      <c r="H72" s="85">
        <v>0.1235632</v>
      </c>
      <c r="I72" s="85">
        <v>0.17296839999999999</v>
      </c>
      <c r="J72" s="85">
        <v>7.8480599999999998E-2</v>
      </c>
      <c r="K72" s="85">
        <v>0.1122838</v>
      </c>
      <c r="L72" s="85">
        <v>8.5894200000000004E-2</v>
      </c>
    </row>
    <row r="73" spans="1:14" x14ac:dyDescent="0.2">
      <c r="A73" s="88" t="s">
        <v>101</v>
      </c>
      <c r="C73" s="85">
        <v>0.24214089999999999</v>
      </c>
      <c r="D73" s="85">
        <v>0.29189700000000002</v>
      </c>
      <c r="E73" s="85">
        <v>0.24518780000000001</v>
      </c>
      <c r="F73" s="85">
        <v>0.28244530000000001</v>
      </c>
      <c r="G73" s="85">
        <v>0.24965219999999999</v>
      </c>
      <c r="H73" s="85">
        <v>0.35922120000000002</v>
      </c>
      <c r="I73" s="85">
        <v>0.24694969999999999</v>
      </c>
      <c r="J73" s="85">
        <v>0.2464877</v>
      </c>
      <c r="K73" s="85">
        <v>0.2267393</v>
      </c>
      <c r="L73" s="85">
        <v>0.33615030000000001</v>
      </c>
    </row>
    <row r="74" spans="1:14" x14ac:dyDescent="0.2">
      <c r="A74" s="88" t="s">
        <v>102</v>
      </c>
      <c r="C74" s="85">
        <v>0.1885076</v>
      </c>
      <c r="D74" s="85">
        <v>0.15081510000000001</v>
      </c>
      <c r="E74" s="85">
        <v>0.16915930000000001</v>
      </c>
      <c r="F74" s="85">
        <v>0.1437348</v>
      </c>
      <c r="G74" s="85">
        <v>0.19150229999999999</v>
      </c>
      <c r="H74" s="85">
        <v>0.17924000000000001</v>
      </c>
      <c r="I74" s="85">
        <v>0.16783419999999999</v>
      </c>
      <c r="J74" s="85">
        <v>0.1005084</v>
      </c>
      <c r="K74" s="85">
        <v>0.14859700000000001</v>
      </c>
      <c r="L74" s="85">
        <v>0.1931235</v>
      </c>
    </row>
    <row r="75" spans="1:14" x14ac:dyDescent="0.2">
      <c r="A75" s="64" t="s">
        <v>68</v>
      </c>
      <c r="C75" s="85">
        <v>-3.4615640000000001</v>
      </c>
      <c r="D75" s="85">
        <v>-3.1595719999999998</v>
      </c>
      <c r="E75" s="85">
        <v>-3.9558979999999999</v>
      </c>
      <c r="F75" s="85">
        <v>-3.6247120000000002</v>
      </c>
      <c r="G75" s="85">
        <v>-4.4093819999999999</v>
      </c>
      <c r="H75" s="85">
        <v>-4.0589769999999996</v>
      </c>
      <c r="I75" s="85">
        <v>-4.754823</v>
      </c>
      <c r="J75" s="85">
        <v>-4.2545270000000004</v>
      </c>
      <c r="K75" s="85">
        <v>-4.5205529999999996</v>
      </c>
      <c r="L75" s="85">
        <v>-4.3749900000000004</v>
      </c>
    </row>
    <row r="76" spans="1:14" ht="58.25" customHeight="1" x14ac:dyDescent="0.2">
      <c r="A76" s="86" t="s">
        <v>95</v>
      </c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7"/>
      <c r="N76" s="87"/>
    </row>
    <row r="77" spans="1:14" x14ac:dyDescent="0.2">
      <c r="A77" s="5" t="s">
        <v>96</v>
      </c>
      <c r="B77" s="64"/>
      <c r="C77" s="85">
        <v>0.99960000000000004</v>
      </c>
      <c r="D77" s="77">
        <v>0.99890000000000001</v>
      </c>
      <c r="E77" s="85">
        <v>0.99939999999999996</v>
      </c>
      <c r="F77" s="85">
        <v>0.99839999999999995</v>
      </c>
      <c r="G77" s="85">
        <v>0.99960000000000004</v>
      </c>
      <c r="H77" s="85">
        <v>0.99909999999999999</v>
      </c>
      <c r="I77" s="85">
        <v>0.99950000000000006</v>
      </c>
      <c r="J77" s="85">
        <v>0.99839999999999995</v>
      </c>
      <c r="K77" s="85">
        <v>0.99929999999999997</v>
      </c>
      <c r="L77" s="85">
        <v>0.99829999999999997</v>
      </c>
    </row>
    <row r="78" spans="1:14" x14ac:dyDescent="0.2">
      <c r="E78" s="85"/>
      <c r="F78" s="77"/>
      <c r="G78" s="85"/>
      <c r="H78" s="85"/>
      <c r="I78" s="85"/>
      <c r="J78" s="85"/>
      <c r="K78" s="85"/>
      <c r="L78" s="85"/>
      <c r="M78" s="85"/>
      <c r="N78" s="85"/>
    </row>
    <row r="79" spans="1:14" x14ac:dyDescent="0.2">
      <c r="A79" s="64" t="s">
        <v>103</v>
      </c>
      <c r="B79" s="64"/>
      <c r="C79" s="64"/>
      <c r="D79" s="64"/>
      <c r="E79" s="85"/>
      <c r="F79" s="77"/>
      <c r="G79" s="85"/>
      <c r="H79" s="85"/>
      <c r="I79" s="85"/>
      <c r="J79" s="85"/>
      <c r="K79" s="85"/>
      <c r="L79" s="85"/>
      <c r="M79" s="85"/>
      <c r="N79" s="85"/>
    </row>
    <row r="80" spans="1:14" x14ac:dyDescent="0.2">
      <c r="A80" s="64" t="s">
        <v>104</v>
      </c>
      <c r="B80" s="64"/>
      <c r="C80" s="85">
        <v>1.0153000000000001</v>
      </c>
      <c r="D80" s="85">
        <v>1.0032000000000001</v>
      </c>
      <c r="E80" s="85">
        <v>1.0117</v>
      </c>
      <c r="F80" s="77">
        <v>1.0075000000000001</v>
      </c>
      <c r="G80" s="85">
        <v>0.96430000000000005</v>
      </c>
      <c r="H80" s="85">
        <v>0.99729999999999996</v>
      </c>
      <c r="I80" s="85">
        <v>0.99690000000000001</v>
      </c>
      <c r="J80" s="85">
        <v>1.0476000000000001</v>
      </c>
      <c r="K80" s="77">
        <v>0.98299999999999998</v>
      </c>
      <c r="L80" s="77">
        <v>0.98799999999999999</v>
      </c>
    </row>
    <row r="81" spans="1:12" x14ac:dyDescent="0.2">
      <c r="A81" s="64" t="s">
        <v>105</v>
      </c>
      <c r="B81" s="64"/>
      <c r="C81" s="77">
        <v>0.99890000000000001</v>
      </c>
      <c r="D81" s="77">
        <v>0.99880000000000002</v>
      </c>
      <c r="E81" s="77">
        <v>0.99890000000000001</v>
      </c>
      <c r="F81" s="77">
        <v>0.99880000000000002</v>
      </c>
      <c r="G81" s="77">
        <v>0.99929999999999997</v>
      </c>
      <c r="H81" s="77">
        <v>0.99880000000000002</v>
      </c>
      <c r="I81" s="77">
        <v>0.99890000000000001</v>
      </c>
      <c r="J81" s="77">
        <v>0.99770000000000003</v>
      </c>
      <c r="K81" s="77">
        <v>0.99909999999999999</v>
      </c>
      <c r="L81" s="77">
        <v>0.99919999999999998</v>
      </c>
    </row>
  </sheetData>
  <mergeCells count="21">
    <mergeCell ref="A76:L76"/>
    <mergeCell ref="K17:L17"/>
    <mergeCell ref="B44:B45"/>
    <mergeCell ref="A48:A49"/>
    <mergeCell ref="C48:D48"/>
    <mergeCell ref="E48:F48"/>
    <mergeCell ref="G48:H48"/>
    <mergeCell ref="I48:J48"/>
    <mergeCell ref="K48:L48"/>
    <mergeCell ref="A17:A18"/>
    <mergeCell ref="B17:B18"/>
    <mergeCell ref="C17:D17"/>
    <mergeCell ref="E17:F17"/>
    <mergeCell ref="G17:H17"/>
    <mergeCell ref="I17:J17"/>
    <mergeCell ref="E3:N3"/>
    <mergeCell ref="E4:F4"/>
    <mergeCell ref="G4:H4"/>
    <mergeCell ref="I4:J4"/>
    <mergeCell ref="K4:L4"/>
    <mergeCell ref="M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Excerpt</vt:lpstr>
      <vt:lpstr>Table S12A Base 10yr</vt:lpstr>
      <vt:lpstr>Table S12D SDI 10yr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Gervis, Julie</dc:creator>
  <cp:lastModifiedBy>Gervis, Julie</cp:lastModifiedBy>
  <dcterms:created xsi:type="dcterms:W3CDTF">2026-10-20T15:54:30Z</dcterms:created>
  <dcterms:modified xsi:type="dcterms:W3CDTF">2026-10-20T16:06:07Z</dcterms:modified>
</cp:coreProperties>
</file>